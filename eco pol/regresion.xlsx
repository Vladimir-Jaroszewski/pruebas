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pruebas\eco pol\"/>
    </mc:Choice>
  </mc:AlternateContent>
  <xr:revisionPtr revIDLastSave="0" documentId="13_ncr:1_{6A44258C-C062-4DF9-BE19-2F7C64DDCF77}" xr6:coauthVersionLast="45" xr6:coauthVersionMax="45" xr10:uidLastSave="{00000000-0000-0000-0000-000000000000}"/>
  <bookViews>
    <workbookView xWindow="20370" yWindow="-120" windowWidth="20640" windowHeight="11160" activeTab="3" xr2:uid="{57324844-6C3F-4C3D-8CB3-EAE8364FD70C}"/>
  </bookViews>
  <sheets>
    <sheet name="regresion" sheetId="17" r:id="rId1"/>
    <sheet name="prediccones" sheetId="18" r:id="rId2"/>
    <sheet name="regresion3" sheetId="19" r:id="rId3"/>
    <sheet name="predicciones3" sheetId="20" r:id="rId4"/>
    <sheet name="dato" sheetId="1" r:id="rId5"/>
    <sheet name="dato2" sheetId="4" r:id="rId6"/>
    <sheet name="dato3" sheetId="7" r:id="rId7"/>
    <sheet name="dato4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" i="20" l="1"/>
  <c r="Q7" i="20"/>
  <c r="W7" i="20"/>
  <c r="AK11" i="18"/>
  <c r="L3" i="19"/>
  <c r="M3" i="19"/>
  <c r="N3" i="19"/>
  <c r="O3" i="19"/>
  <c r="P3" i="19"/>
  <c r="Q3" i="19"/>
  <c r="R3" i="19"/>
  <c r="S3" i="19"/>
  <c r="T3" i="19"/>
  <c r="L4" i="19"/>
  <c r="M4" i="19"/>
  <c r="N4" i="19"/>
  <c r="O4" i="19"/>
  <c r="P4" i="19"/>
  <c r="Q4" i="19"/>
  <c r="R4" i="19"/>
  <c r="S4" i="19"/>
  <c r="T4" i="19"/>
  <c r="L5" i="19"/>
  <c r="M5" i="19"/>
  <c r="N5" i="19"/>
  <c r="O5" i="19"/>
  <c r="P5" i="19"/>
  <c r="Q5" i="19"/>
  <c r="R5" i="19"/>
  <c r="S5" i="19"/>
  <c r="T5" i="19"/>
  <c r="L6" i="19"/>
  <c r="M6" i="19"/>
  <c r="N6" i="19"/>
  <c r="O6" i="19"/>
  <c r="P6" i="19"/>
  <c r="Q6" i="19"/>
  <c r="R6" i="19"/>
  <c r="S6" i="19"/>
  <c r="T6" i="19"/>
  <c r="L7" i="19"/>
  <c r="M7" i="19"/>
  <c r="N7" i="19"/>
  <c r="O7" i="19"/>
  <c r="P7" i="19"/>
  <c r="Q7" i="19"/>
  <c r="R7" i="19"/>
  <c r="S7" i="19"/>
  <c r="T7" i="19"/>
  <c r="L8" i="19"/>
  <c r="M8" i="19"/>
  <c r="N8" i="19"/>
  <c r="O8" i="19"/>
  <c r="P8" i="19"/>
  <c r="Q8" i="19"/>
  <c r="R8" i="19"/>
  <c r="S8" i="19"/>
  <c r="T8" i="19"/>
  <c r="L9" i="19"/>
  <c r="M9" i="19"/>
  <c r="N9" i="19"/>
  <c r="O9" i="19"/>
  <c r="P9" i="19"/>
  <c r="Q9" i="19"/>
  <c r="R9" i="19"/>
  <c r="S9" i="19"/>
  <c r="T9" i="19"/>
  <c r="L10" i="19"/>
  <c r="M10" i="19"/>
  <c r="N10" i="19"/>
  <c r="O10" i="19"/>
  <c r="P10" i="19"/>
  <c r="Q10" i="19"/>
  <c r="R10" i="19"/>
  <c r="S10" i="19"/>
  <c r="T10" i="19"/>
  <c r="L11" i="19"/>
  <c r="M11" i="19"/>
  <c r="N11" i="19"/>
  <c r="O11" i="19"/>
  <c r="P11" i="19"/>
  <c r="Q11" i="19"/>
  <c r="R11" i="19"/>
  <c r="S11" i="19"/>
  <c r="T11" i="19"/>
  <c r="L12" i="19"/>
  <c r="M12" i="19"/>
  <c r="N12" i="19"/>
  <c r="O12" i="19"/>
  <c r="P12" i="19"/>
  <c r="Q12" i="19"/>
  <c r="R12" i="19"/>
  <c r="S12" i="19"/>
  <c r="T12" i="19"/>
  <c r="L13" i="19"/>
  <c r="M13" i="19"/>
  <c r="N13" i="19"/>
  <c r="O13" i="19"/>
  <c r="P13" i="19"/>
  <c r="Q13" i="19"/>
  <c r="R13" i="19"/>
  <c r="S13" i="19"/>
  <c r="T13" i="19"/>
  <c r="L14" i="19"/>
  <c r="M14" i="19"/>
  <c r="N14" i="19"/>
  <c r="O14" i="19"/>
  <c r="P14" i="19"/>
  <c r="Q14" i="19"/>
  <c r="R14" i="19"/>
  <c r="S14" i="19"/>
  <c r="T14" i="19"/>
  <c r="L15" i="19"/>
  <c r="M15" i="19"/>
  <c r="N15" i="19"/>
  <c r="O15" i="19"/>
  <c r="P15" i="19"/>
  <c r="Q15" i="19"/>
  <c r="R15" i="19"/>
  <c r="S15" i="19"/>
  <c r="T15" i="19"/>
  <c r="L16" i="19"/>
  <c r="M16" i="19"/>
  <c r="N16" i="19"/>
  <c r="O16" i="19"/>
  <c r="P16" i="19"/>
  <c r="Q16" i="19"/>
  <c r="R16" i="19"/>
  <c r="S16" i="19"/>
  <c r="T16" i="19"/>
  <c r="L17" i="19"/>
  <c r="M17" i="19"/>
  <c r="N17" i="19"/>
  <c r="O17" i="19"/>
  <c r="P17" i="19"/>
  <c r="Q17" i="19"/>
  <c r="R17" i="19"/>
  <c r="S17" i="19"/>
  <c r="T17" i="19"/>
  <c r="L18" i="19"/>
  <c r="M18" i="19"/>
  <c r="N18" i="19"/>
  <c r="O18" i="19"/>
  <c r="P18" i="19"/>
  <c r="Q18" i="19"/>
  <c r="R18" i="19"/>
  <c r="S18" i="19"/>
  <c r="T18" i="19"/>
  <c r="L19" i="19"/>
  <c r="M19" i="19"/>
  <c r="N19" i="19"/>
  <c r="O19" i="19"/>
  <c r="P19" i="19"/>
  <c r="Q19" i="19"/>
  <c r="R19" i="19"/>
  <c r="S19" i="19"/>
  <c r="T19" i="19"/>
  <c r="L20" i="19"/>
  <c r="M20" i="19"/>
  <c r="N20" i="19"/>
  <c r="O20" i="19"/>
  <c r="P20" i="19"/>
  <c r="Q20" i="19"/>
  <c r="R20" i="19"/>
  <c r="S20" i="19"/>
  <c r="T20" i="19"/>
  <c r="L21" i="19"/>
  <c r="M21" i="19"/>
  <c r="N21" i="19"/>
  <c r="O21" i="19"/>
  <c r="P21" i="19"/>
  <c r="Q21" i="19"/>
  <c r="R21" i="19"/>
  <c r="S21" i="19"/>
  <c r="T21" i="19"/>
  <c r="L22" i="19"/>
  <c r="M22" i="19"/>
  <c r="N22" i="19"/>
  <c r="O22" i="19"/>
  <c r="P22" i="19"/>
  <c r="Q22" i="19"/>
  <c r="R22" i="19"/>
  <c r="S22" i="19"/>
  <c r="T22" i="19"/>
  <c r="L23" i="19"/>
  <c r="M23" i="19"/>
  <c r="N23" i="19"/>
  <c r="O23" i="19"/>
  <c r="P23" i="19"/>
  <c r="Q23" i="19"/>
  <c r="R23" i="19"/>
  <c r="S23" i="19"/>
  <c r="T23" i="19"/>
  <c r="L24" i="19"/>
  <c r="M24" i="19"/>
  <c r="N24" i="19"/>
  <c r="O24" i="19"/>
  <c r="P24" i="19"/>
  <c r="Q24" i="19"/>
  <c r="R24" i="19"/>
  <c r="S24" i="19"/>
  <c r="T24" i="19"/>
  <c r="L25" i="19"/>
  <c r="M25" i="19"/>
  <c r="N25" i="19"/>
  <c r="O25" i="19"/>
  <c r="P25" i="19"/>
  <c r="Q25" i="19"/>
  <c r="R25" i="19"/>
  <c r="S25" i="19"/>
  <c r="T25" i="19"/>
  <c r="L26" i="19"/>
  <c r="M26" i="19"/>
  <c r="N26" i="19"/>
  <c r="O26" i="19"/>
  <c r="P26" i="19"/>
  <c r="Q26" i="19"/>
  <c r="R26" i="19"/>
  <c r="S26" i="19"/>
  <c r="T26" i="19"/>
  <c r="L27" i="19"/>
  <c r="M27" i="19"/>
  <c r="N27" i="19"/>
  <c r="O27" i="19"/>
  <c r="P27" i="19"/>
  <c r="Q27" i="19"/>
  <c r="R27" i="19"/>
  <c r="S27" i="19"/>
  <c r="T27" i="19"/>
  <c r="L28" i="19"/>
  <c r="M28" i="19"/>
  <c r="N28" i="19"/>
  <c r="O28" i="19"/>
  <c r="P28" i="19"/>
  <c r="Q28" i="19"/>
  <c r="R28" i="19"/>
  <c r="S28" i="19"/>
  <c r="T28" i="19"/>
  <c r="L29" i="19"/>
  <c r="M29" i="19"/>
  <c r="N29" i="19"/>
  <c r="O29" i="19"/>
  <c r="P29" i="19"/>
  <c r="Q29" i="19"/>
  <c r="R29" i="19"/>
  <c r="S29" i="19"/>
  <c r="T29" i="19"/>
  <c r="L30" i="19"/>
  <c r="M30" i="19"/>
  <c r="N30" i="19"/>
  <c r="O30" i="19"/>
  <c r="P30" i="19"/>
  <c r="Q30" i="19"/>
  <c r="R30" i="19"/>
  <c r="S30" i="19"/>
  <c r="T30" i="19"/>
  <c r="L31" i="19"/>
  <c r="M31" i="19"/>
  <c r="N31" i="19"/>
  <c r="O31" i="19"/>
  <c r="P31" i="19"/>
  <c r="Q31" i="19"/>
  <c r="R31" i="19"/>
  <c r="S31" i="19"/>
  <c r="T31" i="19"/>
  <c r="T2" i="19"/>
  <c r="S2" i="19"/>
  <c r="R2" i="19"/>
  <c r="Q2" i="19"/>
  <c r="AU3" i="7"/>
  <c r="AU4" i="7"/>
  <c r="AU5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2" i="7"/>
  <c r="AS3" i="7"/>
  <c r="AS4" i="7"/>
  <c r="AS5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2" i="7"/>
  <c r="AQ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2" i="7"/>
  <c r="AO3" i="7"/>
  <c r="AO4" i="7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2" i="7"/>
  <c r="AM3" i="7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2" i="7"/>
  <c r="P2" i="19" s="1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2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2" i="7"/>
  <c r="N2" i="19" s="1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2" i="7"/>
  <c r="M2" i="19" s="1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2" i="7"/>
  <c r="L2" i="19" s="1"/>
  <c r="C3" i="19"/>
  <c r="D3" i="19"/>
  <c r="E3" i="19"/>
  <c r="F3" i="19"/>
  <c r="G3" i="19"/>
  <c r="H3" i="19"/>
  <c r="I3" i="19"/>
  <c r="J3" i="19"/>
  <c r="C4" i="19"/>
  <c r="D4" i="19"/>
  <c r="E4" i="19"/>
  <c r="F4" i="19"/>
  <c r="G4" i="19"/>
  <c r="H4" i="19"/>
  <c r="I4" i="19"/>
  <c r="J4" i="19"/>
  <c r="C5" i="19"/>
  <c r="D5" i="19"/>
  <c r="E5" i="19"/>
  <c r="F5" i="19"/>
  <c r="G5" i="19"/>
  <c r="H5" i="19"/>
  <c r="I5" i="19"/>
  <c r="J5" i="19"/>
  <c r="C6" i="19"/>
  <c r="D6" i="19"/>
  <c r="E6" i="19"/>
  <c r="F6" i="19"/>
  <c r="G6" i="19"/>
  <c r="H6" i="19"/>
  <c r="I6" i="19"/>
  <c r="J6" i="19"/>
  <c r="C7" i="19"/>
  <c r="D7" i="19"/>
  <c r="E7" i="19"/>
  <c r="F7" i="19"/>
  <c r="G7" i="19"/>
  <c r="H7" i="19"/>
  <c r="I7" i="19"/>
  <c r="J7" i="19"/>
  <c r="C8" i="19"/>
  <c r="D8" i="19"/>
  <c r="E8" i="19"/>
  <c r="F8" i="19"/>
  <c r="G8" i="19"/>
  <c r="H8" i="19"/>
  <c r="I8" i="19"/>
  <c r="J8" i="19"/>
  <c r="C9" i="19"/>
  <c r="D9" i="19"/>
  <c r="E9" i="19"/>
  <c r="F9" i="19"/>
  <c r="G9" i="19"/>
  <c r="H9" i="19"/>
  <c r="I9" i="19"/>
  <c r="J9" i="19"/>
  <c r="C10" i="19"/>
  <c r="D10" i="19"/>
  <c r="E10" i="19"/>
  <c r="F10" i="19"/>
  <c r="G10" i="19"/>
  <c r="H10" i="19"/>
  <c r="I10" i="19"/>
  <c r="J10" i="19"/>
  <c r="C11" i="19"/>
  <c r="D11" i="19"/>
  <c r="E11" i="19"/>
  <c r="F11" i="19"/>
  <c r="G11" i="19"/>
  <c r="H11" i="19"/>
  <c r="I11" i="19"/>
  <c r="J11" i="19"/>
  <c r="C12" i="19"/>
  <c r="D12" i="19"/>
  <c r="E12" i="19"/>
  <c r="F12" i="19"/>
  <c r="G12" i="19"/>
  <c r="H12" i="19"/>
  <c r="I12" i="19"/>
  <c r="J12" i="19"/>
  <c r="C13" i="19"/>
  <c r="D13" i="19"/>
  <c r="E13" i="19"/>
  <c r="F13" i="19"/>
  <c r="G13" i="19"/>
  <c r="H13" i="19"/>
  <c r="I13" i="19"/>
  <c r="J13" i="19"/>
  <c r="C14" i="19"/>
  <c r="D14" i="19"/>
  <c r="E14" i="19"/>
  <c r="F14" i="19"/>
  <c r="G14" i="19"/>
  <c r="H14" i="19"/>
  <c r="I14" i="19"/>
  <c r="J14" i="19"/>
  <c r="C15" i="19"/>
  <c r="D15" i="19"/>
  <c r="E15" i="19"/>
  <c r="F15" i="19"/>
  <c r="G15" i="19"/>
  <c r="H15" i="19"/>
  <c r="I15" i="19"/>
  <c r="J15" i="19"/>
  <c r="C16" i="19"/>
  <c r="D16" i="19"/>
  <c r="E16" i="19"/>
  <c r="F16" i="19"/>
  <c r="G16" i="19"/>
  <c r="H16" i="19"/>
  <c r="I16" i="19"/>
  <c r="J16" i="19"/>
  <c r="C17" i="19"/>
  <c r="D17" i="19"/>
  <c r="E17" i="19"/>
  <c r="F17" i="19"/>
  <c r="G17" i="19"/>
  <c r="H17" i="19"/>
  <c r="I17" i="19"/>
  <c r="J17" i="19"/>
  <c r="C18" i="19"/>
  <c r="D18" i="19"/>
  <c r="E18" i="19"/>
  <c r="F18" i="19"/>
  <c r="G18" i="19"/>
  <c r="H18" i="19"/>
  <c r="I18" i="19"/>
  <c r="J18" i="19"/>
  <c r="C19" i="19"/>
  <c r="D19" i="19"/>
  <c r="E19" i="19"/>
  <c r="F19" i="19"/>
  <c r="G19" i="19"/>
  <c r="H19" i="19"/>
  <c r="I19" i="19"/>
  <c r="J19" i="19"/>
  <c r="C20" i="19"/>
  <c r="D20" i="19"/>
  <c r="E20" i="19"/>
  <c r="F20" i="19"/>
  <c r="G20" i="19"/>
  <c r="H20" i="19"/>
  <c r="I20" i="19"/>
  <c r="J20" i="19"/>
  <c r="C21" i="19"/>
  <c r="D21" i="19"/>
  <c r="E21" i="19"/>
  <c r="F21" i="19"/>
  <c r="G21" i="19"/>
  <c r="H21" i="19"/>
  <c r="I21" i="19"/>
  <c r="J21" i="19"/>
  <c r="C22" i="19"/>
  <c r="D22" i="19"/>
  <c r="E22" i="19"/>
  <c r="F22" i="19"/>
  <c r="G22" i="19"/>
  <c r="H22" i="19"/>
  <c r="I22" i="19"/>
  <c r="J22" i="19"/>
  <c r="C23" i="19"/>
  <c r="D23" i="19"/>
  <c r="E23" i="19"/>
  <c r="F23" i="19"/>
  <c r="G23" i="19"/>
  <c r="H23" i="19"/>
  <c r="I23" i="19"/>
  <c r="J23" i="19"/>
  <c r="C24" i="19"/>
  <c r="D24" i="19"/>
  <c r="E24" i="19"/>
  <c r="F24" i="19"/>
  <c r="G24" i="19"/>
  <c r="H24" i="19"/>
  <c r="I24" i="19"/>
  <c r="J24" i="19"/>
  <c r="C25" i="19"/>
  <c r="D25" i="19"/>
  <c r="E25" i="19"/>
  <c r="F25" i="19"/>
  <c r="G25" i="19"/>
  <c r="H25" i="19"/>
  <c r="I25" i="19"/>
  <c r="J25" i="19"/>
  <c r="C26" i="19"/>
  <c r="D26" i="19"/>
  <c r="E26" i="19"/>
  <c r="F26" i="19"/>
  <c r="G26" i="19"/>
  <c r="H26" i="19"/>
  <c r="I26" i="19"/>
  <c r="J26" i="19"/>
  <c r="C27" i="19"/>
  <c r="D27" i="19"/>
  <c r="E27" i="19"/>
  <c r="F27" i="19"/>
  <c r="G27" i="19"/>
  <c r="H27" i="19"/>
  <c r="I27" i="19"/>
  <c r="J27" i="19"/>
  <c r="C28" i="19"/>
  <c r="D28" i="19"/>
  <c r="E28" i="19"/>
  <c r="F28" i="19"/>
  <c r="G28" i="19"/>
  <c r="H28" i="19"/>
  <c r="I28" i="19"/>
  <c r="J28" i="19"/>
  <c r="C29" i="19"/>
  <c r="D29" i="19"/>
  <c r="E29" i="19"/>
  <c r="F29" i="19"/>
  <c r="G29" i="19"/>
  <c r="H29" i="19"/>
  <c r="I29" i="19"/>
  <c r="J29" i="19"/>
  <c r="C30" i="19"/>
  <c r="D30" i="19"/>
  <c r="E30" i="19"/>
  <c r="F30" i="19"/>
  <c r="G30" i="19"/>
  <c r="H30" i="19"/>
  <c r="I30" i="19"/>
  <c r="J30" i="19"/>
  <c r="C31" i="19"/>
  <c r="D31" i="19"/>
  <c r="E31" i="19"/>
  <c r="F31" i="19"/>
  <c r="G31" i="19"/>
  <c r="H31" i="19"/>
  <c r="I31" i="19"/>
  <c r="J31" i="19"/>
  <c r="J2" i="19"/>
  <c r="I2" i="19"/>
  <c r="H2" i="19"/>
  <c r="G2" i="19"/>
  <c r="F2" i="19"/>
  <c r="E2" i="19"/>
  <c r="D2" i="19"/>
  <c r="C2" i="19"/>
  <c r="AD6" i="18"/>
  <c r="O2" i="19" l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2" i="10"/>
  <c r="Y3" i="10"/>
  <c r="V16" i="18"/>
  <c r="V15" i="18"/>
  <c r="T16" i="18"/>
  <c r="T14" i="18"/>
  <c r="V5" i="18"/>
  <c r="V4" i="18"/>
  <c r="T6" i="18"/>
  <c r="T3" i="18"/>
  <c r="Q5" i="18"/>
  <c r="Q4" i="18"/>
  <c r="P20" i="18"/>
  <c r="P19" i="18"/>
  <c r="O17" i="18"/>
  <c r="O14" i="18"/>
  <c r="O6" i="18"/>
  <c r="O3" i="18"/>
  <c r="V3" i="17" l="1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2" i="17"/>
  <c r="AG3" i="1"/>
  <c r="AV32" i="10" l="1"/>
  <c r="AV3" i="10"/>
  <c r="AV4" i="10"/>
  <c r="AV5" i="10"/>
  <c r="AV6" i="10"/>
  <c r="AV7" i="10"/>
  <c r="AV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V29" i="10"/>
  <c r="AV30" i="10"/>
  <c r="AV31" i="10"/>
  <c r="AV33" i="10"/>
  <c r="AV34" i="10"/>
  <c r="AV35" i="10"/>
  <c r="AV2" i="10"/>
  <c r="AB2" i="10"/>
  <c r="AB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5" i="7"/>
  <c r="M2" i="7"/>
  <c r="AV27" i="7"/>
  <c r="AV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8" i="7"/>
  <c r="AV29" i="7"/>
  <c r="AV30" i="7"/>
  <c r="AV31" i="7"/>
  <c r="AV35" i="7"/>
  <c r="AV2" i="7"/>
  <c r="AV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2" i="4"/>
  <c r="AC32" i="1"/>
  <c r="M33" i="1"/>
  <c r="O33" i="1"/>
  <c r="Q33" i="1"/>
  <c r="S33" i="1"/>
  <c r="U33" i="1"/>
  <c r="W33" i="1"/>
  <c r="Y33" i="1"/>
  <c r="AA33" i="1"/>
  <c r="AB34" i="1"/>
  <c r="AC34" i="1" s="1"/>
  <c r="AB30" i="1"/>
  <c r="AB31" i="1"/>
  <c r="AB3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" i="1"/>
  <c r="AB36" i="1"/>
  <c r="AV32" i="1"/>
  <c r="AV5" i="1"/>
  <c r="AV4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4" i="1"/>
  <c r="AV35" i="1"/>
  <c r="AV36" i="1"/>
  <c r="AV37" i="1"/>
  <c r="AV3" i="1"/>
  <c r="AB35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2" i="4"/>
  <c r="AV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U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2" i="4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5" i="4"/>
  <c r="M2" i="4"/>
  <c r="AB33" i="1" l="1"/>
  <c r="AQ33" i="1"/>
  <c r="W10" i="1" l="1"/>
  <c r="N32" i="10" l="1"/>
  <c r="O32" i="10"/>
  <c r="P32" i="10"/>
  <c r="Q32" i="10"/>
  <c r="R32" i="10"/>
  <c r="S32" i="10"/>
  <c r="T32" i="10"/>
  <c r="U32" i="10"/>
  <c r="V32" i="10"/>
  <c r="W32" i="10"/>
  <c r="X32" i="10"/>
  <c r="Z32" i="10"/>
  <c r="AA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M32" i="10"/>
  <c r="N32" i="7"/>
  <c r="P32" i="7"/>
  <c r="R32" i="7"/>
  <c r="T32" i="7"/>
  <c r="V32" i="7"/>
  <c r="X32" i="7"/>
  <c r="Z32" i="7"/>
  <c r="AD32" i="7"/>
  <c r="AF32" i="7"/>
  <c r="AH32" i="7"/>
  <c r="AJ32" i="7"/>
  <c r="AL32" i="7"/>
  <c r="AN32" i="7"/>
  <c r="AP32" i="7"/>
  <c r="AR32" i="7"/>
  <c r="AV32" i="7"/>
  <c r="AT32" i="7"/>
  <c r="N32" i="4"/>
  <c r="P32" i="4"/>
  <c r="R32" i="4"/>
  <c r="T32" i="4"/>
  <c r="V32" i="4"/>
  <c r="X32" i="4"/>
  <c r="Z32" i="4"/>
  <c r="AD32" i="4"/>
  <c r="AF32" i="4"/>
  <c r="AH32" i="4"/>
  <c r="AJ32" i="4"/>
  <c r="AL32" i="4"/>
  <c r="AN32" i="4"/>
  <c r="AP32" i="4"/>
  <c r="AR32" i="4"/>
  <c r="AT32" i="4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3" i="10"/>
  <c r="AU34" i="10"/>
  <c r="AU35" i="10"/>
  <c r="AU2" i="10"/>
  <c r="AS3" i="10"/>
  <c r="AS4" i="10"/>
  <c r="AS5" i="10"/>
  <c r="AS6" i="10"/>
  <c r="AS7" i="10"/>
  <c r="AS8" i="10"/>
  <c r="AS9" i="10"/>
  <c r="AS10" i="10"/>
  <c r="AS11" i="10"/>
  <c r="AS12" i="10"/>
  <c r="AS13" i="10"/>
  <c r="AS14" i="10"/>
  <c r="AS15" i="10"/>
  <c r="AS16" i="10"/>
  <c r="AS17" i="10"/>
  <c r="AS18" i="10"/>
  <c r="AS19" i="10"/>
  <c r="AS20" i="10"/>
  <c r="AS21" i="10"/>
  <c r="AS22" i="10"/>
  <c r="AS23" i="10"/>
  <c r="AS24" i="10"/>
  <c r="AS25" i="10"/>
  <c r="AS26" i="10"/>
  <c r="AS27" i="10"/>
  <c r="AS28" i="10"/>
  <c r="AS29" i="10"/>
  <c r="AS30" i="10"/>
  <c r="AS31" i="10"/>
  <c r="AS33" i="10"/>
  <c r="AS34" i="10"/>
  <c r="AS35" i="10"/>
  <c r="AS2" i="10"/>
  <c r="L33" i="10" s="1"/>
  <c r="M33" i="10" s="1"/>
  <c r="AQ3" i="10"/>
  <c r="AQ4" i="10"/>
  <c r="AQ5" i="10"/>
  <c r="AQ6" i="10"/>
  <c r="AQ7" i="10"/>
  <c r="AQ8" i="10"/>
  <c r="AQ9" i="10"/>
  <c r="AQ10" i="10"/>
  <c r="AQ11" i="10"/>
  <c r="AQ12" i="10"/>
  <c r="AQ13" i="10"/>
  <c r="AQ14" i="10"/>
  <c r="AQ15" i="10"/>
  <c r="AQ16" i="10"/>
  <c r="AQ17" i="10"/>
  <c r="AQ18" i="10"/>
  <c r="AQ19" i="10"/>
  <c r="AQ20" i="10"/>
  <c r="AQ21" i="10"/>
  <c r="AQ22" i="10"/>
  <c r="AQ23" i="10"/>
  <c r="AQ24" i="10"/>
  <c r="AQ25" i="10"/>
  <c r="AQ26" i="10"/>
  <c r="AQ27" i="10"/>
  <c r="AQ28" i="10"/>
  <c r="AQ29" i="10"/>
  <c r="AQ30" i="10"/>
  <c r="AQ31" i="10"/>
  <c r="AQ33" i="10"/>
  <c r="AQ34" i="10"/>
  <c r="AQ35" i="10"/>
  <c r="AQ2" i="10"/>
  <c r="AR34" i="10" s="1"/>
  <c r="AO3" i="10"/>
  <c r="AO4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3" i="10"/>
  <c r="AO34" i="10"/>
  <c r="AO35" i="10"/>
  <c r="AO2" i="10"/>
  <c r="AM3" i="10"/>
  <c r="AM4" i="10"/>
  <c r="AM5" i="10"/>
  <c r="AM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3" i="10"/>
  <c r="AM34" i="10"/>
  <c r="AM35" i="10"/>
  <c r="AM2" i="10"/>
  <c r="AN33" i="10" s="1"/>
  <c r="AK3" i="10"/>
  <c r="AK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3" i="10"/>
  <c r="AK34" i="10"/>
  <c r="AK35" i="10"/>
  <c r="AK2" i="10"/>
  <c r="AL34" i="10" s="1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3" i="10"/>
  <c r="AI34" i="10"/>
  <c r="AI35" i="10"/>
  <c r="AI2" i="10"/>
  <c r="AJ34" i="10" s="1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3" i="10"/>
  <c r="AG34" i="10"/>
  <c r="AG35" i="10"/>
  <c r="AG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3" i="10"/>
  <c r="AE34" i="10"/>
  <c r="AE35" i="10"/>
  <c r="AE2" i="10"/>
  <c r="AF34" i="10" s="1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3" i="10"/>
  <c r="AA34" i="10"/>
  <c r="AA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3" i="10"/>
  <c r="W34" i="10"/>
  <c r="W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3" i="10"/>
  <c r="U34" i="10"/>
  <c r="U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3" i="10"/>
  <c r="S34" i="10"/>
  <c r="S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3" i="10"/>
  <c r="Q34" i="10"/>
  <c r="Q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3" i="10"/>
  <c r="O34" i="10"/>
  <c r="O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5" i="10"/>
  <c r="M2" i="10"/>
  <c r="AT33" i="10" s="1"/>
  <c r="AB35" i="10"/>
  <c r="AC35" i="10" s="1"/>
  <c r="AT34" i="10"/>
  <c r="AF33" i="10"/>
  <c r="AB28" i="10"/>
  <c r="AC28" i="10" s="1"/>
  <c r="AB24" i="10"/>
  <c r="AC24" i="10" s="1"/>
  <c r="AB20" i="10"/>
  <c r="AC20" i="10" s="1"/>
  <c r="L34" i="10"/>
  <c r="M34" i="10" s="1"/>
  <c r="AN34" i="10"/>
  <c r="AL33" i="10"/>
  <c r="L34" i="7"/>
  <c r="AR34" i="7"/>
  <c r="AP34" i="7"/>
  <c r="AN33" i="7"/>
  <c r="AL34" i="7"/>
  <c r="AH33" i="7"/>
  <c r="AB35" i="7"/>
  <c r="AB3" i="7"/>
  <c r="AB4" i="7"/>
  <c r="AB5" i="7"/>
  <c r="AB6" i="7"/>
  <c r="AB7" i="7"/>
  <c r="AC7" i="7" s="1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C16" i="7"/>
  <c r="AC35" i="4"/>
  <c r="AF33" i="7"/>
  <c r="AT33" i="7"/>
  <c r="AJ34" i="7"/>
  <c r="AP33" i="7"/>
  <c r="AC20" i="7"/>
  <c r="AJ33" i="7"/>
  <c r="AT34" i="7"/>
  <c r="L34" i="4"/>
  <c r="M34" i="4" s="1"/>
  <c r="AR34" i="4"/>
  <c r="AP33" i="4"/>
  <c r="AN34" i="4"/>
  <c r="AL33" i="4"/>
  <c r="AH33" i="4"/>
  <c r="AJ34" i="4"/>
  <c r="AT33" i="4"/>
  <c r="AP34" i="4"/>
  <c r="AL34" i="4"/>
  <c r="AJ33" i="4"/>
  <c r="AF33" i="4"/>
  <c r="AT34" i="4"/>
  <c r="M34" i="7" l="1"/>
  <c r="AB34" i="7" s="1"/>
  <c r="AC34" i="7" s="1"/>
  <c r="AB32" i="7"/>
  <c r="AB3" i="10"/>
  <c r="AB33" i="10"/>
  <c r="AC33" i="10" s="1"/>
  <c r="AB5" i="10"/>
  <c r="AC5" i="10" s="1"/>
  <c r="AB21" i="10"/>
  <c r="AC21" i="10" s="1"/>
  <c r="AB25" i="10"/>
  <c r="AC25" i="10" s="1"/>
  <c r="AB29" i="10"/>
  <c r="AC29" i="10" s="1"/>
  <c r="AB18" i="10"/>
  <c r="AC18" i="10" s="1"/>
  <c r="AB19" i="10"/>
  <c r="AC19" i="10" s="1"/>
  <c r="AB22" i="10"/>
  <c r="AC22" i="10" s="1"/>
  <c r="AB23" i="10"/>
  <c r="AC23" i="10" s="1"/>
  <c r="AB26" i="10"/>
  <c r="AC26" i="10" s="1"/>
  <c r="AB27" i="10"/>
  <c r="AC27" i="10" s="1"/>
  <c r="AB30" i="10"/>
  <c r="AC30" i="10" s="1"/>
  <c r="AB31" i="10"/>
  <c r="AC31" i="10" s="1"/>
  <c r="AP33" i="10"/>
  <c r="AP34" i="10"/>
  <c r="AB7" i="10"/>
  <c r="AC7" i="10" s="1"/>
  <c r="AB9" i="10"/>
  <c r="AC9" i="10" s="1"/>
  <c r="AB11" i="10"/>
  <c r="AC11" i="10" s="1"/>
  <c r="AB13" i="10"/>
  <c r="AC13" i="10" s="1"/>
  <c r="AB15" i="10"/>
  <c r="AC15" i="10" s="1"/>
  <c r="AB17" i="10"/>
  <c r="AC17" i="10" s="1"/>
  <c r="AB34" i="10"/>
  <c r="AC34" i="10" s="1"/>
  <c r="AH33" i="10"/>
  <c r="AH34" i="10"/>
  <c r="AC2" i="10"/>
  <c r="AB4" i="10"/>
  <c r="AC4" i="10" s="1"/>
  <c r="AB6" i="10"/>
  <c r="AC6" i="10" s="1"/>
  <c r="AB8" i="10"/>
  <c r="AC8" i="10" s="1"/>
  <c r="AB10" i="10"/>
  <c r="AC10" i="10" s="1"/>
  <c r="AB12" i="10"/>
  <c r="AC12" i="10" s="1"/>
  <c r="AB14" i="10"/>
  <c r="AC14" i="10" s="1"/>
  <c r="AB16" i="10"/>
  <c r="AC16" i="10" s="1"/>
  <c r="AJ33" i="10"/>
  <c r="AR33" i="10"/>
  <c r="AR33" i="7"/>
  <c r="AL33" i="7"/>
  <c r="AH34" i="7"/>
  <c r="AC3" i="7"/>
  <c r="AC19" i="7"/>
  <c r="AC4" i="7"/>
  <c r="AC8" i="7"/>
  <c r="AC12" i="7"/>
  <c r="AC24" i="7"/>
  <c r="AC28" i="7"/>
  <c r="AC35" i="7"/>
  <c r="AC11" i="7"/>
  <c r="AC15" i="7"/>
  <c r="AC23" i="7"/>
  <c r="AC27" i="7"/>
  <c r="AC31" i="7"/>
  <c r="AC2" i="7"/>
  <c r="AC5" i="7"/>
  <c r="AC9" i="7"/>
  <c r="AC6" i="7"/>
  <c r="AC10" i="7"/>
  <c r="AC13" i="7"/>
  <c r="AC14" i="7"/>
  <c r="AC17" i="7"/>
  <c r="AC18" i="7"/>
  <c r="AC21" i="7"/>
  <c r="AC22" i="7"/>
  <c r="AC25" i="7"/>
  <c r="AC26" i="7"/>
  <c r="AC29" i="7"/>
  <c r="AC30" i="7"/>
  <c r="AF34" i="7"/>
  <c r="AN34" i="7"/>
  <c r="L33" i="7"/>
  <c r="AR33" i="4"/>
  <c r="AH34" i="4"/>
  <c r="AF34" i="4"/>
  <c r="L33" i="4"/>
  <c r="AN33" i="4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I34" i="1"/>
  <c r="AK34" i="1"/>
  <c r="AM34" i="1"/>
  <c r="AO34" i="1"/>
  <c r="AP34" i="1"/>
  <c r="AQ34" i="1"/>
  <c r="AS34" i="1"/>
  <c r="M34" i="1"/>
  <c r="AU34" i="1"/>
  <c r="AI35" i="1"/>
  <c r="AK35" i="1"/>
  <c r="AM35" i="1"/>
  <c r="AO35" i="1"/>
  <c r="AP35" i="1"/>
  <c r="AQ35" i="1"/>
  <c r="AS35" i="1"/>
  <c r="M35" i="1"/>
  <c r="AU35" i="1"/>
  <c r="AE35" i="1"/>
  <c r="AE34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4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4" i="1"/>
  <c r="Y3" i="1"/>
  <c r="W4" i="1"/>
  <c r="W5" i="1"/>
  <c r="W6" i="1"/>
  <c r="W7" i="1"/>
  <c r="W8" i="1"/>
  <c r="W9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4" i="1"/>
  <c r="W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4" i="1"/>
  <c r="S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" i="1"/>
  <c r="Q34" i="1"/>
  <c r="U34" i="1"/>
  <c r="O34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  <c r="M33" i="7" l="1"/>
  <c r="AB33" i="7" s="1"/>
  <c r="AC33" i="7" s="1"/>
  <c r="AV33" i="7"/>
  <c r="AV34" i="7"/>
  <c r="AC3" i="10"/>
  <c r="AC32" i="10" s="1"/>
  <c r="AB32" i="10"/>
  <c r="AC32" i="7"/>
  <c r="M33" i="4"/>
  <c r="AJ34" i="1"/>
  <c r="AI33" i="1"/>
  <c r="AN34" i="1"/>
  <c r="AM33" i="1"/>
  <c r="AR34" i="1"/>
  <c r="AT34" i="1"/>
  <c r="AF34" i="1"/>
  <c r="AG34" i="1" s="1"/>
  <c r="AE33" i="1"/>
  <c r="AH34" i="1"/>
  <c r="AG33" i="1"/>
  <c r="AV33" i="1" s="1"/>
  <c r="AL34" i="1"/>
  <c r="AK33" i="1"/>
  <c r="AO33" i="1"/>
  <c r="L35" i="1"/>
  <c r="AS33" i="1"/>
  <c r="AU33" i="1"/>
  <c r="AC10" i="1"/>
  <c r="AC13" i="1"/>
  <c r="AC5" i="1"/>
  <c r="AC29" i="1"/>
  <c r="AC9" i="1"/>
  <c r="AC28" i="1"/>
  <c r="AC20" i="1"/>
  <c r="AC16" i="1"/>
  <c r="AC12" i="1"/>
  <c r="AC4" i="1"/>
  <c r="AC21" i="1"/>
  <c r="AR35" i="1"/>
  <c r="AN35" i="1"/>
  <c r="AH35" i="1"/>
  <c r="AT35" i="1"/>
  <c r="AF35" i="1"/>
  <c r="AG35" i="1" s="1"/>
  <c r="AC25" i="1"/>
  <c r="AC17" i="1"/>
  <c r="AC24" i="1"/>
  <c r="AC8" i="1"/>
  <c r="L34" i="1"/>
  <c r="AL35" i="1"/>
  <c r="AJ35" i="1"/>
  <c r="AC30" i="1"/>
  <c r="AC26" i="1"/>
  <c r="AC22" i="1"/>
  <c r="AC18" i="1"/>
  <c r="AC14" i="1"/>
  <c r="AC6" i="1"/>
  <c r="AC31" i="1"/>
  <c r="AC27" i="1"/>
  <c r="AC23" i="1"/>
  <c r="AC19" i="1"/>
  <c r="AC15" i="1"/>
  <c r="AC11" i="1"/>
  <c r="AC7" i="1"/>
  <c r="AC3" i="1"/>
  <c r="AC37" i="1" s="1"/>
  <c r="AC33" i="1" l="1"/>
</calcChain>
</file>

<file path=xl/sharedStrings.xml><?xml version="1.0" encoding="utf-8"?>
<sst xmlns="http://schemas.openxmlformats.org/spreadsheetml/2006/main" count="5761" uniqueCount="181">
  <si>
    <t>Marca temporal</t>
  </si>
  <si>
    <t>Número de Trámite DNI</t>
  </si>
  <si>
    <t>Año de nacimiento</t>
  </si>
  <si>
    <t>Año de cursado. La mayoría de las materias obligatorias que cursaste en 2024 son de:</t>
  </si>
  <si>
    <t>¿Con qué identidad de género se identifica?</t>
  </si>
  <si>
    <t>¿Cuál fue el último nivel educativo alcanzado por su padre o tutor?</t>
  </si>
  <si>
    <t>¿Cuál fue el último nivel educativo alcanzado por su madre o tutora?</t>
  </si>
  <si>
    <t>Ubíquese en la pirámide en base a su ingreso total familiar aproximado</t>
  </si>
  <si>
    <t>¿De dónde provienen tus ingresos?</t>
  </si>
  <si>
    <t>¿Dónde vivías antes de venir a estudiar a Córdoba?</t>
  </si>
  <si>
    <t>Los países con Estados más “pequeños” (menor gasto público) son más exitosos y sus habitantes gozan de una mejor calidad de vida.</t>
  </si>
  <si>
    <t>Altos salarios para funcionarios estatales (en los 3 poderes) son beneficiosos por disminuir las posibilidades de que estos cometan actos de corrupción</t>
  </si>
  <si>
    <t>Los ricos deben pagar relativamente más impuestos que los pobres</t>
  </si>
  <si>
    <t>El país sólo puede crecer a largo plazo si reorienta sus políticas hacia una economía de mercado y libre comercio</t>
  </si>
  <si>
    <t>El gobierno siempre debe intervenir en el mercado cuando lo crea necesario</t>
  </si>
  <si>
    <t>Aquellos que puedan trabajar, y rechacen la oportunidad, no deberían esperar ayuda social</t>
  </si>
  <si>
    <t>El gasto público en planes y asistencia social debe reducirse a un mínimo y en su lugar debe gastarse el dinero público en planes de empleo e inversión</t>
  </si>
  <si>
    <t>La única responsabilidad social de una empresa debería ser proporcionar utilidades a sus accionistas</t>
  </si>
  <si>
    <t>Las medidas de restricción de la circulación y aislamiento obligatorio durante la pandemia fueron excesivas y un atropello a la libertad individual de los ciudadanos</t>
  </si>
  <si>
    <t>El movimiento feminista carece de sentido ya que actualmente mujeres y hombres se encuentran en pie de igualdad</t>
  </si>
  <si>
    <t>El aborto, cuando no esté amenazada la vida de la madre, siempre debería ser ilegal</t>
  </si>
  <si>
    <t>El cambio climático es una problemática alarmante y a la que todos los Estados deberían prestar atención</t>
  </si>
  <si>
    <t>Los contribuyentes deberían financiar con impuestos aquellos teatros o museos que no fuesen rentables por sí mismos</t>
  </si>
  <si>
    <t>En la justicia penal la rehabilitación debería ser más importante que el castigo</t>
  </si>
  <si>
    <t>Los extranjeros no deberían acceder a educación y salud gratuita</t>
  </si>
  <si>
    <t>El Estado debe intervenir en el mercado laboral para reducir la brecha salarial entre hombres y mujeres</t>
  </si>
  <si>
    <t>El Estado no debería obligar a vacunar a los niños</t>
  </si>
  <si>
    <t>El peronismo es el responsable de arruinar nuestro país en los últimos años</t>
  </si>
  <si>
    <t>La política tradicional es responsable de la crisis económica y social del país</t>
  </si>
  <si>
    <t>El FMI es partícipe del fracaso económico de los últimos años</t>
  </si>
  <si>
    <t>La falta de dólares es uno de los principales problemas de la argentina</t>
  </si>
  <si>
    <t>Se puede pagar el precio de cierto grado de corrupción, siempre que se solucionen los problemas del país</t>
  </si>
  <si>
    <t>Estoy dispuesto a sacrificar derechos políticos por más seguridad</t>
  </si>
  <si>
    <t>Estoy dispuesto a sacrificar derechos políticos por más bienestar económico</t>
  </si>
  <si>
    <t>Si me asegura 30 años de estabilidad económica y crecimiento, estoy dispuesto a sacrificar derechos políticos</t>
  </si>
  <si>
    <t>La vida en los barrios cerrados ("countries") es de mejor calidad que en barrios abiertos, incluso si estos son seguros</t>
  </si>
  <si>
    <t>Suponiendo un transporte público eficiente, de calidad y bajo costo, estaría dispuesto a disminuir el uso del automóvil particular</t>
  </si>
  <si>
    <t>La educación secundaria privada prepara mejor a los ciudadanos que la escuela pública</t>
  </si>
  <si>
    <t>¿Con cuáles de los siguientes términos se identifica? (Puede elegir más de uno) [De derecha]</t>
  </si>
  <si>
    <t>¿Con cuáles de los siguientes términos se identifica? (Puede elegir más de uno) [De izquierda]</t>
  </si>
  <si>
    <t>¿Con cuáles de los siguientes términos se identifica? (Puede elegir más de uno) [De centro]</t>
  </si>
  <si>
    <t>¿Con cuáles de los siguientes términos se identifica? (Puede elegir más de uno) [Progresista]</t>
  </si>
  <si>
    <t>¿Con cuáles de los siguientes términos se identifica? (Puede elegir más de uno) [Conservador]</t>
  </si>
  <si>
    <t>¿Con cuáles de los siguientes términos se identifica? (Puede elegir más de uno) [Liberal]</t>
  </si>
  <si>
    <t>¿Con cuáles de los siguientes términos se identifica? (Puede elegir más de uno) [Socialista]</t>
  </si>
  <si>
    <t>¿Con cuáles de los siguientes términos se identifica? (Puede elegir más de uno) [Del PRO]</t>
  </si>
  <si>
    <t>¿Con cuáles de los siguientes términos se identifica? (Puede elegir más de uno) [Peronista]</t>
  </si>
  <si>
    <t>¿Con cuáles de los siguientes términos se identifica? (Puede elegir más de uno) [Kirchnerista]</t>
  </si>
  <si>
    <t>¿Con cuáles de los siguientes términos se identifica? (Puede elegir más de uno) [Libertario]</t>
  </si>
  <si>
    <t>¿Con cuáles de los siguientes términos se identifica? (Puede elegir más de uno) [Radical]</t>
  </si>
  <si>
    <t>¿Con cuáles de los siguientes términos se identifica? (Puede elegir más de uno) [Macrista]</t>
  </si>
  <si>
    <t>¿Con cuáles de los siguientes términos se identifica? (Puede elegir más de uno) [Feminista]</t>
  </si>
  <si>
    <t>¿Con cuáles de los siguientes términos se identifica? (Puede elegir más de uno) [Ecologista]</t>
  </si>
  <si>
    <t>¿Con cuáles de los siguientes términos se identifica? (Puede elegir más de uno) [Anarquista]</t>
  </si>
  <si>
    <t>¿Cómo votó para Presidente en las elecciones PASO de agosto de 2023?</t>
  </si>
  <si>
    <t>¿Cómo votó para Presidente en las elecciones generales de octubre de 2023?</t>
  </si>
  <si>
    <t>¿Cómo votó para Presidente en el ballotage de noviembre de 2023?</t>
  </si>
  <si>
    <t>¿Cuál es tu sexo registrado al nacer?</t>
  </si>
  <si>
    <t>00686630540</t>
  </si>
  <si>
    <t>Cuarto año</t>
  </si>
  <si>
    <t>Varón</t>
  </si>
  <si>
    <t>Universitario incompleto</t>
  </si>
  <si>
    <t>Clase Alta (ABC1): más de $2.850.000 mensuales</t>
  </si>
  <si>
    <t>Familia</t>
  </si>
  <si>
    <t>Otra localidad en la Provincia de Córdoba</t>
  </si>
  <si>
    <t>Levemente de Acuerdo</t>
  </si>
  <si>
    <t>Levemente en Desacuerdo</t>
  </si>
  <si>
    <t>Muy de Acuerdo</t>
  </si>
  <si>
    <t>Totalmente de Acuerdo</t>
  </si>
  <si>
    <t>Muy en Desacuerdo</t>
  </si>
  <si>
    <t>Totalmente en Desacuerdo</t>
  </si>
  <si>
    <t>Me identifico</t>
  </si>
  <si>
    <t>Patricia Bullrich (Juntos por el Cambio)</t>
  </si>
  <si>
    <t>Javier Milei (La Libertad Avanza)</t>
  </si>
  <si>
    <t>00164890275</t>
  </si>
  <si>
    <t>Quinto año</t>
  </si>
  <si>
    <t>Universitario completo</t>
  </si>
  <si>
    <t>Otra localidad en otra Provincia</t>
  </si>
  <si>
    <t>Horacio Rodríguez Larreta (Juntos por el Cambio)</t>
  </si>
  <si>
    <t>Sergio Massa (Unión por la Patria)</t>
  </si>
  <si>
    <t>00578280042</t>
  </si>
  <si>
    <t>Tercer año</t>
  </si>
  <si>
    <t>Terciario completo</t>
  </si>
  <si>
    <t>Clase Media Alta (C2): entre $1.350.001 mensuales y $2.850.000 mensuales</t>
  </si>
  <si>
    <t>00464782483</t>
  </si>
  <si>
    <t>Levemente en Acuerdo</t>
  </si>
  <si>
    <t>00661842297</t>
  </si>
  <si>
    <t xml:space="preserve">No vote </t>
  </si>
  <si>
    <t>00623233790</t>
  </si>
  <si>
    <t>Trabajo propio</t>
  </si>
  <si>
    <t>Ciudad de Córdoba</t>
  </si>
  <si>
    <t>00544287188</t>
  </si>
  <si>
    <t>NS/NC</t>
  </si>
  <si>
    <t>Clase Baja Superior (D1): entre $773.501 y $850.000 mensuales</t>
  </si>
  <si>
    <t>00305830361</t>
  </si>
  <si>
    <t>Mujer</t>
  </si>
  <si>
    <t>Posgrado completo</t>
  </si>
  <si>
    <t>Juan Schiaretti (Hacemos por Nuestro País)</t>
  </si>
  <si>
    <t>En blanco</t>
  </si>
  <si>
    <t>00712484148</t>
  </si>
  <si>
    <t>006934766847656</t>
  </si>
  <si>
    <t>Juan Grabois (Unión por la Patria)</t>
  </si>
  <si>
    <t>00338374873</t>
  </si>
  <si>
    <t>No vote</t>
  </si>
  <si>
    <t>00576235027</t>
  </si>
  <si>
    <t>00704722792</t>
  </si>
  <si>
    <t>004551455698171</t>
  </si>
  <si>
    <t>Secundario incompleto</t>
  </si>
  <si>
    <t>00608003883</t>
  </si>
  <si>
    <t>00686589580</t>
  </si>
  <si>
    <t>00530483055</t>
  </si>
  <si>
    <t>003772232568073</t>
  </si>
  <si>
    <t>Secundario completo</t>
  </si>
  <si>
    <t>Clase Media Baja (C3): entre $850.001 mensuales y $1.350.000 mensuales</t>
  </si>
  <si>
    <t>00680175484</t>
  </si>
  <si>
    <t>Primario completo</t>
  </si>
  <si>
    <t>00344474148</t>
  </si>
  <si>
    <t>005464198578260</t>
  </si>
  <si>
    <t>00513759005</t>
  </si>
  <si>
    <t>00157138797</t>
  </si>
  <si>
    <t>006400545666038</t>
  </si>
  <si>
    <t>003420609968086</t>
  </si>
  <si>
    <t>Beca|Pasantia|Familia</t>
  </si>
  <si>
    <t>No asistí</t>
  </si>
  <si>
    <t>00506717796</t>
  </si>
  <si>
    <t>00516733809</t>
  </si>
  <si>
    <t>005316712496717</t>
  </si>
  <si>
    <t>003856132397521</t>
  </si>
  <si>
    <t>Beca</t>
  </si>
  <si>
    <t>00284397411</t>
  </si>
  <si>
    <t>Otra</t>
  </si>
  <si>
    <t>suma eje economico</t>
  </si>
  <si>
    <t>.</t>
  </si>
  <si>
    <t>puntaje</t>
  </si>
  <si>
    <t>eje econ</t>
  </si>
  <si>
    <t>eje social</t>
  </si>
  <si>
    <t>voto</t>
  </si>
  <si>
    <t>promedio</t>
  </si>
  <si>
    <t>Eje economico</t>
  </si>
  <si>
    <t>Eje Social</t>
  </si>
  <si>
    <t>mediana</t>
  </si>
  <si>
    <t>puntaje 1E</t>
  </si>
  <si>
    <t>puntaje 2E</t>
  </si>
  <si>
    <t>puntaje 3E</t>
  </si>
  <si>
    <t>puntaje 4E</t>
  </si>
  <si>
    <t>puntaje 5E</t>
  </si>
  <si>
    <t>puntaje 6E</t>
  </si>
  <si>
    <t>puntaje 7E</t>
  </si>
  <si>
    <t>puntaje 8E</t>
  </si>
  <si>
    <t>puntaje 1S</t>
  </si>
  <si>
    <t>puntaje 2S</t>
  </si>
  <si>
    <t>puntaje 3S</t>
  </si>
  <si>
    <t>puntaje 4S</t>
  </si>
  <si>
    <t>puntaje 5S</t>
  </si>
  <si>
    <t>puntaje 6S</t>
  </si>
  <si>
    <t>puntaje 7S</t>
  </si>
  <si>
    <t>puntaje 8S</t>
  </si>
  <si>
    <t>puntaje 9S</t>
  </si>
  <si>
    <t>P2S</t>
  </si>
  <si>
    <t>P5E</t>
  </si>
  <si>
    <t>P7E</t>
  </si>
  <si>
    <t>media</t>
  </si>
  <si>
    <t>predicciones.Tot</t>
  </si>
  <si>
    <t>predicciones.Ec</t>
  </si>
  <si>
    <t>des</t>
  </si>
  <si>
    <t>min</t>
  </si>
  <si>
    <t>max</t>
  </si>
  <si>
    <t>coef = -2</t>
  </si>
  <si>
    <t>coef = 1,85</t>
  </si>
  <si>
    <t>coef = 1,9</t>
  </si>
  <si>
    <t>coef = 2,1</t>
  </si>
  <si>
    <t>predicciones</t>
  </si>
  <si>
    <t>coef= -2,6</t>
  </si>
  <si>
    <t>coef = 2</t>
  </si>
  <si>
    <t>coef = 2,2</t>
  </si>
  <si>
    <t>P1E</t>
  </si>
  <si>
    <t>P2E</t>
  </si>
  <si>
    <t>P3E</t>
  </si>
  <si>
    <t>P4E</t>
  </si>
  <si>
    <t>P6E</t>
  </si>
  <si>
    <t>P8E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</si>
</sst>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3" borderId="1" xfId="0" applyNumberFormat="1" applyFill="1" applyBorder="1"/>
    <xf numFmtId="2" fontId="0" fillId="3" borderId="2" xfId="0" applyNumberFormat="1" applyFill="1" applyBorder="1"/>
    <xf numFmtId="2" fontId="0" fillId="0" borderId="3" xfId="0" applyNumberFormat="1" applyFill="1" applyBorder="1"/>
    <xf numFmtId="2" fontId="0" fillId="3" borderId="0" xfId="0" applyNumberFormat="1" applyFill="1"/>
    <xf numFmtId="0" fontId="0" fillId="4" borderId="0" xfId="0" applyFill="1"/>
    <xf numFmtId="164" fontId="0" fillId="3" borderId="0" xfId="0" applyNumberFormat="1" applyFill="1"/>
    <xf numFmtId="0" fontId="0" fillId="0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7" xfId="0" applyFill="1" applyBorder="1"/>
    <xf numFmtId="0" fontId="0" fillId="2" borderId="6" xfId="0" applyFill="1" applyBorder="1"/>
    <xf numFmtId="0" fontId="0" fillId="0" borderId="1" xfId="0" applyBorder="1"/>
    <xf numFmtId="0" fontId="0" fillId="0" borderId="3" xfId="0" applyBorder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BE70-D1F4-42D5-811B-D863B12F7C6D}">
  <dimension ref="A1:V31"/>
  <sheetViews>
    <sheetView workbookViewId="0">
      <pane ySplit="1" topLeftCell="A2" activePane="bottomLeft" state="frozen"/>
      <selection pane="bottomLeft" sqref="A1:A1048576"/>
    </sheetView>
  </sheetViews>
  <sheetFormatPr baseColWidth="10" defaultRowHeight="15" x14ac:dyDescent="0.25"/>
  <cols>
    <col min="1" max="1" width="14.28515625" customWidth="1"/>
    <col min="2" max="2" width="11.85546875" bestFit="1" customWidth="1"/>
    <col min="21" max="21" width="33.5703125" customWidth="1"/>
  </cols>
  <sheetData>
    <row r="1" spans="1:22" x14ac:dyDescent="0.25">
      <c r="A1" s="1" t="s">
        <v>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/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U1" s="1" t="s">
        <v>56</v>
      </c>
      <c r="V1" s="1" t="s">
        <v>136</v>
      </c>
    </row>
    <row r="2" spans="1:22" x14ac:dyDescent="0.25">
      <c r="A2" t="s">
        <v>58</v>
      </c>
      <c r="B2">
        <v>1</v>
      </c>
      <c r="C2">
        <v>0.33</v>
      </c>
      <c r="D2">
        <v>-0.66</v>
      </c>
      <c r="E2">
        <v>1</v>
      </c>
      <c r="F2">
        <v>0.66</v>
      </c>
      <c r="G2">
        <v>1</v>
      </c>
      <c r="H2">
        <v>1</v>
      </c>
      <c r="I2">
        <v>-0.66</v>
      </c>
      <c r="K2">
        <v>-0.33</v>
      </c>
      <c r="L2">
        <v>-1</v>
      </c>
      <c r="M2">
        <v>-0.33</v>
      </c>
      <c r="N2">
        <v>-0.33</v>
      </c>
      <c r="O2">
        <v>0.66</v>
      </c>
      <c r="P2">
        <v>1</v>
      </c>
      <c r="Q2">
        <v>0.66</v>
      </c>
      <c r="R2">
        <v>1</v>
      </c>
      <c r="S2">
        <v>1</v>
      </c>
      <c r="U2" s="10" t="s">
        <v>73</v>
      </c>
      <c r="V2">
        <f>+IF(U2="Javier Milei (La Libertad Avanza)",1,0)</f>
        <v>1</v>
      </c>
    </row>
    <row r="3" spans="1:22" x14ac:dyDescent="0.25">
      <c r="A3" t="s">
        <v>74</v>
      </c>
      <c r="B3">
        <v>-0.33</v>
      </c>
      <c r="C3">
        <v>-0.66</v>
      </c>
      <c r="D3">
        <v>-1</v>
      </c>
      <c r="E3">
        <v>0.33</v>
      </c>
      <c r="F3">
        <v>0.33</v>
      </c>
      <c r="G3">
        <v>-0.33</v>
      </c>
      <c r="H3">
        <v>-0.33</v>
      </c>
      <c r="I3">
        <v>-0.66</v>
      </c>
      <c r="K3">
        <v>0.33</v>
      </c>
      <c r="L3">
        <v>-0.33</v>
      </c>
      <c r="M3">
        <v>-1</v>
      </c>
      <c r="N3">
        <v>-1</v>
      </c>
      <c r="O3">
        <v>-0.66</v>
      </c>
      <c r="P3">
        <v>-0.66</v>
      </c>
      <c r="Q3">
        <v>-0.66</v>
      </c>
      <c r="R3">
        <v>-1</v>
      </c>
      <c r="S3">
        <v>1</v>
      </c>
      <c r="U3" s="10" t="s">
        <v>79</v>
      </c>
      <c r="V3">
        <f t="shared" ref="V3:V31" si="0">+IF(U3="Javier Milei (La Libertad Avanza)",1,0)</f>
        <v>0</v>
      </c>
    </row>
    <row r="4" spans="1:22" x14ac:dyDescent="0.25">
      <c r="A4" t="s">
        <v>80</v>
      </c>
      <c r="B4">
        <v>0.33</v>
      </c>
      <c r="C4">
        <v>-0.66</v>
      </c>
      <c r="D4">
        <v>-0.66</v>
      </c>
      <c r="E4">
        <v>1</v>
      </c>
      <c r="F4">
        <v>-0.33</v>
      </c>
      <c r="G4">
        <v>1</v>
      </c>
      <c r="H4">
        <v>0.66</v>
      </c>
      <c r="I4">
        <v>-0.66</v>
      </c>
      <c r="K4">
        <v>1</v>
      </c>
      <c r="L4">
        <v>-1</v>
      </c>
      <c r="M4">
        <v>0.33</v>
      </c>
      <c r="N4">
        <v>-1</v>
      </c>
      <c r="O4">
        <v>0.33</v>
      </c>
      <c r="P4">
        <v>1</v>
      </c>
      <c r="Q4">
        <v>1</v>
      </c>
      <c r="R4">
        <v>-0.33</v>
      </c>
      <c r="S4">
        <v>0.66</v>
      </c>
      <c r="U4" s="10" t="s">
        <v>73</v>
      </c>
      <c r="V4">
        <f t="shared" si="0"/>
        <v>1</v>
      </c>
    </row>
    <row r="5" spans="1:22" x14ac:dyDescent="0.25">
      <c r="A5" t="s">
        <v>84</v>
      </c>
      <c r="B5">
        <v>-0.66</v>
      </c>
      <c r="C5">
        <v>0.33</v>
      </c>
      <c r="D5">
        <v>-0.33</v>
      </c>
      <c r="E5">
        <v>0.33</v>
      </c>
      <c r="F5">
        <v>-0.66</v>
      </c>
      <c r="G5">
        <v>0.66</v>
      </c>
      <c r="H5">
        <v>0.66</v>
      </c>
      <c r="I5">
        <v>0.33</v>
      </c>
      <c r="K5">
        <v>0.33</v>
      </c>
      <c r="L5">
        <v>-1</v>
      </c>
      <c r="M5">
        <v>0.66</v>
      </c>
      <c r="N5">
        <v>-1</v>
      </c>
      <c r="O5">
        <v>-0.66</v>
      </c>
      <c r="P5">
        <v>0.33</v>
      </c>
      <c r="Q5">
        <v>0.33</v>
      </c>
      <c r="R5">
        <v>0.66</v>
      </c>
      <c r="S5">
        <v>0.33</v>
      </c>
      <c r="U5" s="10" t="s">
        <v>73</v>
      </c>
      <c r="V5">
        <f t="shared" si="0"/>
        <v>1</v>
      </c>
    </row>
    <row r="6" spans="1:22" x14ac:dyDescent="0.25">
      <c r="A6" t="s">
        <v>86</v>
      </c>
      <c r="B6">
        <v>0.33</v>
      </c>
      <c r="C6">
        <v>-0.33</v>
      </c>
      <c r="D6">
        <v>-0.66</v>
      </c>
      <c r="E6">
        <v>0.66</v>
      </c>
      <c r="F6">
        <v>-0.33</v>
      </c>
      <c r="G6">
        <v>-0.33</v>
      </c>
      <c r="H6">
        <v>0.33</v>
      </c>
      <c r="I6">
        <v>-0.66</v>
      </c>
      <c r="K6">
        <v>-0.66</v>
      </c>
      <c r="L6">
        <v>0.33</v>
      </c>
      <c r="M6">
        <v>-0.33</v>
      </c>
      <c r="N6">
        <v>-1</v>
      </c>
      <c r="O6">
        <v>-0.66</v>
      </c>
      <c r="P6">
        <v>-0.33</v>
      </c>
      <c r="Q6">
        <v>0.66</v>
      </c>
      <c r="R6">
        <v>0.66</v>
      </c>
      <c r="S6">
        <v>-0.33</v>
      </c>
      <c r="U6" s="10" t="s">
        <v>79</v>
      </c>
      <c r="V6">
        <f t="shared" si="0"/>
        <v>0</v>
      </c>
    </row>
    <row r="7" spans="1:22" x14ac:dyDescent="0.25">
      <c r="A7" t="s">
        <v>88</v>
      </c>
      <c r="B7">
        <v>1</v>
      </c>
      <c r="C7">
        <v>0.66</v>
      </c>
      <c r="D7">
        <v>-1</v>
      </c>
      <c r="E7">
        <v>1</v>
      </c>
      <c r="F7">
        <v>1</v>
      </c>
      <c r="G7">
        <v>1</v>
      </c>
      <c r="H7">
        <v>-0.66</v>
      </c>
      <c r="I7">
        <v>-0.66</v>
      </c>
      <c r="K7">
        <v>-1</v>
      </c>
      <c r="L7">
        <v>-1</v>
      </c>
      <c r="M7">
        <v>-0.66</v>
      </c>
      <c r="N7">
        <v>-1</v>
      </c>
      <c r="O7">
        <v>-0.33</v>
      </c>
      <c r="P7">
        <v>1</v>
      </c>
      <c r="Q7">
        <v>-1</v>
      </c>
      <c r="R7">
        <v>1</v>
      </c>
      <c r="S7">
        <v>1</v>
      </c>
      <c r="U7" s="10" t="s">
        <v>73</v>
      </c>
      <c r="V7">
        <f t="shared" si="0"/>
        <v>1</v>
      </c>
    </row>
    <row r="8" spans="1:22" x14ac:dyDescent="0.25">
      <c r="A8" t="s">
        <v>91</v>
      </c>
      <c r="B8">
        <v>-0.33</v>
      </c>
      <c r="C8">
        <v>0.33</v>
      </c>
      <c r="D8">
        <v>-0.66</v>
      </c>
      <c r="E8">
        <v>0.33</v>
      </c>
      <c r="F8">
        <v>-0.33</v>
      </c>
      <c r="G8">
        <v>1</v>
      </c>
      <c r="H8">
        <v>0.33</v>
      </c>
      <c r="I8">
        <v>-0.66</v>
      </c>
      <c r="K8">
        <v>-0.66</v>
      </c>
      <c r="L8">
        <v>-0.66</v>
      </c>
      <c r="M8">
        <v>0.33</v>
      </c>
      <c r="N8">
        <v>-1</v>
      </c>
      <c r="O8">
        <v>-1</v>
      </c>
      <c r="P8">
        <v>0.66</v>
      </c>
      <c r="Q8">
        <v>-0.66</v>
      </c>
      <c r="R8">
        <v>-0.66</v>
      </c>
      <c r="S8">
        <v>1</v>
      </c>
      <c r="U8" s="10" t="s">
        <v>73</v>
      </c>
      <c r="V8">
        <f t="shared" si="0"/>
        <v>1</v>
      </c>
    </row>
    <row r="9" spans="1:22" x14ac:dyDescent="0.25">
      <c r="A9" t="s">
        <v>94</v>
      </c>
      <c r="B9">
        <v>-0.66</v>
      </c>
      <c r="C9">
        <v>-0.33</v>
      </c>
      <c r="D9">
        <v>-0.66</v>
      </c>
      <c r="E9">
        <v>0.66</v>
      </c>
      <c r="F9">
        <v>0.66</v>
      </c>
      <c r="G9">
        <v>0.66</v>
      </c>
      <c r="H9">
        <v>-0.33</v>
      </c>
      <c r="I9">
        <v>-0.66</v>
      </c>
      <c r="K9">
        <v>-0.66</v>
      </c>
      <c r="L9">
        <v>-0.66</v>
      </c>
      <c r="M9">
        <v>-0.33</v>
      </c>
      <c r="N9">
        <v>0.33</v>
      </c>
      <c r="O9">
        <v>-1</v>
      </c>
      <c r="P9">
        <v>-0.33</v>
      </c>
      <c r="Q9">
        <v>-0.66</v>
      </c>
      <c r="R9">
        <v>1</v>
      </c>
      <c r="S9">
        <v>0.66</v>
      </c>
      <c r="U9" s="10" t="s">
        <v>98</v>
      </c>
      <c r="V9">
        <f t="shared" si="0"/>
        <v>0</v>
      </c>
    </row>
    <row r="10" spans="1:22" x14ac:dyDescent="0.25">
      <c r="A10" t="s">
        <v>99</v>
      </c>
      <c r="B10">
        <v>-0.66</v>
      </c>
      <c r="C10">
        <v>-0.66</v>
      </c>
      <c r="D10">
        <v>-1</v>
      </c>
      <c r="E10">
        <v>0.33</v>
      </c>
      <c r="F10">
        <v>0.33</v>
      </c>
      <c r="G10">
        <v>0.33</v>
      </c>
      <c r="H10">
        <v>-0.66</v>
      </c>
      <c r="I10">
        <v>-1</v>
      </c>
      <c r="K10">
        <v>-1</v>
      </c>
      <c r="L10">
        <v>-0.66</v>
      </c>
      <c r="M10">
        <v>-0.33</v>
      </c>
      <c r="N10">
        <v>-1</v>
      </c>
      <c r="O10">
        <v>-1</v>
      </c>
      <c r="P10">
        <v>-0.66</v>
      </c>
      <c r="Q10">
        <v>0.66</v>
      </c>
      <c r="R10">
        <v>0.33</v>
      </c>
      <c r="S10">
        <v>1</v>
      </c>
      <c r="U10" s="10" t="s">
        <v>73</v>
      </c>
      <c r="V10">
        <f t="shared" si="0"/>
        <v>1</v>
      </c>
    </row>
    <row r="11" spans="1:22" x14ac:dyDescent="0.25">
      <c r="A11" t="s">
        <v>100</v>
      </c>
      <c r="B11">
        <v>1</v>
      </c>
      <c r="C11">
        <v>-1</v>
      </c>
      <c r="D11">
        <v>-1</v>
      </c>
      <c r="E11">
        <v>-1</v>
      </c>
      <c r="F11">
        <v>-1</v>
      </c>
      <c r="G11">
        <v>-0.66</v>
      </c>
      <c r="H11">
        <v>0.33</v>
      </c>
      <c r="I11">
        <v>-1</v>
      </c>
      <c r="K11">
        <v>-0.66</v>
      </c>
      <c r="L11">
        <v>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1</v>
      </c>
      <c r="U11" s="10" t="s">
        <v>79</v>
      </c>
      <c r="V11">
        <f t="shared" si="0"/>
        <v>0</v>
      </c>
    </row>
    <row r="12" spans="1:22" x14ac:dyDescent="0.25">
      <c r="A12" t="s">
        <v>102</v>
      </c>
      <c r="B12">
        <v>-0.33</v>
      </c>
      <c r="C12">
        <v>-0.33</v>
      </c>
      <c r="D12">
        <v>-0.66</v>
      </c>
      <c r="E12">
        <v>0.33</v>
      </c>
      <c r="F12">
        <v>-0.33</v>
      </c>
      <c r="G12">
        <v>0.66</v>
      </c>
      <c r="H12">
        <v>-0.33</v>
      </c>
      <c r="I12">
        <v>-0.33</v>
      </c>
      <c r="K12">
        <v>0.33</v>
      </c>
      <c r="L12">
        <v>-0.66</v>
      </c>
      <c r="M12">
        <v>-1</v>
      </c>
      <c r="N12">
        <v>-1</v>
      </c>
      <c r="O12">
        <v>-0.33</v>
      </c>
      <c r="P12">
        <v>0.33</v>
      </c>
      <c r="Q12">
        <v>-0.33</v>
      </c>
      <c r="R12">
        <v>0.66</v>
      </c>
      <c r="S12">
        <v>0.66</v>
      </c>
      <c r="U12" s="10" t="s">
        <v>73</v>
      </c>
      <c r="V12">
        <f t="shared" si="0"/>
        <v>1</v>
      </c>
    </row>
    <row r="13" spans="1:22" x14ac:dyDescent="0.25">
      <c r="A13" t="s">
        <v>104</v>
      </c>
      <c r="B13">
        <v>0.66</v>
      </c>
      <c r="C13">
        <v>0.33</v>
      </c>
      <c r="D13">
        <v>-0.66</v>
      </c>
      <c r="E13">
        <v>0.33</v>
      </c>
      <c r="F13">
        <v>-0.33</v>
      </c>
      <c r="G13">
        <v>0.33</v>
      </c>
      <c r="H13">
        <v>0.66</v>
      </c>
      <c r="I13">
        <v>0.33</v>
      </c>
      <c r="K13">
        <v>0.33</v>
      </c>
      <c r="L13">
        <v>-0.66</v>
      </c>
      <c r="M13">
        <v>0.66</v>
      </c>
      <c r="N13">
        <v>-0.66</v>
      </c>
      <c r="O13">
        <v>0.33</v>
      </c>
      <c r="P13">
        <v>1</v>
      </c>
      <c r="Q13">
        <v>-0.33</v>
      </c>
      <c r="R13">
        <v>0.33</v>
      </c>
      <c r="S13">
        <v>1</v>
      </c>
      <c r="U13" s="10" t="s">
        <v>73</v>
      </c>
      <c r="V13">
        <f t="shared" si="0"/>
        <v>1</v>
      </c>
    </row>
    <row r="14" spans="1:22" x14ac:dyDescent="0.25">
      <c r="A14" t="s">
        <v>105</v>
      </c>
      <c r="B14">
        <v>-0.33</v>
      </c>
      <c r="C14">
        <v>1</v>
      </c>
      <c r="D14">
        <v>-0.66</v>
      </c>
      <c r="E14">
        <v>1</v>
      </c>
      <c r="F14">
        <v>0.66</v>
      </c>
      <c r="G14">
        <v>-0.66</v>
      </c>
      <c r="H14">
        <v>1</v>
      </c>
      <c r="I14">
        <v>0.66</v>
      </c>
      <c r="K14">
        <v>0.33</v>
      </c>
      <c r="L14">
        <v>-0.66</v>
      </c>
      <c r="M14">
        <v>0.66</v>
      </c>
      <c r="N14">
        <v>0.66</v>
      </c>
      <c r="O14">
        <v>-0.33</v>
      </c>
      <c r="P14">
        <v>1</v>
      </c>
      <c r="Q14">
        <v>-0.66</v>
      </c>
      <c r="R14">
        <v>1</v>
      </c>
      <c r="S14">
        <v>-0.66</v>
      </c>
      <c r="U14" s="10" t="s">
        <v>73</v>
      </c>
      <c r="V14">
        <f t="shared" si="0"/>
        <v>1</v>
      </c>
    </row>
    <row r="15" spans="1:22" x14ac:dyDescent="0.25">
      <c r="A15" t="s">
        <v>106</v>
      </c>
      <c r="B15">
        <v>-0.33</v>
      </c>
      <c r="C15">
        <v>0.33</v>
      </c>
      <c r="D15">
        <v>-0.33</v>
      </c>
      <c r="E15">
        <v>0.33</v>
      </c>
      <c r="F15">
        <v>-0.33</v>
      </c>
      <c r="G15">
        <v>0.66</v>
      </c>
      <c r="H15">
        <v>0.33</v>
      </c>
      <c r="I15">
        <v>-0.33</v>
      </c>
      <c r="K15">
        <v>-0.33</v>
      </c>
      <c r="L15">
        <v>-0.66</v>
      </c>
      <c r="M15">
        <v>-0.33</v>
      </c>
      <c r="N15">
        <v>-0.33</v>
      </c>
      <c r="O15">
        <v>-0.66</v>
      </c>
      <c r="P15">
        <v>1</v>
      </c>
      <c r="Q15">
        <v>-0.33</v>
      </c>
      <c r="R15">
        <v>0.66</v>
      </c>
      <c r="S15">
        <v>1</v>
      </c>
      <c r="U15" s="10" t="s">
        <v>98</v>
      </c>
      <c r="V15">
        <f t="shared" si="0"/>
        <v>0</v>
      </c>
    </row>
    <row r="16" spans="1:22" x14ac:dyDescent="0.25">
      <c r="A16" t="s">
        <v>108</v>
      </c>
      <c r="B16">
        <v>0.66</v>
      </c>
      <c r="C16">
        <v>0.33</v>
      </c>
      <c r="D16">
        <v>-0.66</v>
      </c>
      <c r="E16">
        <v>1</v>
      </c>
      <c r="F16">
        <v>0.66</v>
      </c>
      <c r="G16">
        <v>0.66</v>
      </c>
      <c r="H16">
        <v>0.33</v>
      </c>
      <c r="I16">
        <v>-0.33</v>
      </c>
      <c r="K16">
        <v>-1</v>
      </c>
      <c r="L16">
        <v>-0.66</v>
      </c>
      <c r="M16">
        <v>-0.33</v>
      </c>
      <c r="N16">
        <v>0.33</v>
      </c>
      <c r="O16">
        <v>-0.66</v>
      </c>
      <c r="P16">
        <v>1</v>
      </c>
      <c r="Q16">
        <v>0.66</v>
      </c>
      <c r="R16">
        <v>0.66</v>
      </c>
      <c r="S16">
        <v>0.33</v>
      </c>
      <c r="U16" s="10" t="s">
        <v>73</v>
      </c>
      <c r="V16">
        <f t="shared" si="0"/>
        <v>1</v>
      </c>
    </row>
    <row r="17" spans="1:22" x14ac:dyDescent="0.25">
      <c r="A17" t="s">
        <v>109</v>
      </c>
      <c r="B17">
        <v>-0.33</v>
      </c>
      <c r="C17">
        <v>0.33</v>
      </c>
      <c r="D17">
        <v>-1</v>
      </c>
      <c r="E17">
        <v>0.66</v>
      </c>
      <c r="F17">
        <v>-0.66</v>
      </c>
      <c r="G17">
        <v>0.33</v>
      </c>
      <c r="H17">
        <v>0.33</v>
      </c>
      <c r="I17">
        <v>-0.33</v>
      </c>
      <c r="K17">
        <v>-0.66</v>
      </c>
      <c r="L17">
        <v>0.66</v>
      </c>
      <c r="M17">
        <v>0.33</v>
      </c>
      <c r="N17">
        <v>0.33</v>
      </c>
      <c r="O17">
        <v>0.33</v>
      </c>
      <c r="P17">
        <v>0.33</v>
      </c>
      <c r="Q17">
        <v>0.33</v>
      </c>
      <c r="R17">
        <v>0.33</v>
      </c>
      <c r="S17">
        <v>1</v>
      </c>
      <c r="U17" s="10" t="s">
        <v>73</v>
      </c>
      <c r="V17">
        <f t="shared" si="0"/>
        <v>1</v>
      </c>
    </row>
    <row r="18" spans="1:22" x14ac:dyDescent="0.25">
      <c r="A18" t="s">
        <v>110</v>
      </c>
      <c r="B18">
        <v>1</v>
      </c>
      <c r="C18">
        <v>0.33</v>
      </c>
      <c r="D18">
        <v>-0.66</v>
      </c>
      <c r="E18">
        <v>0.66</v>
      </c>
      <c r="F18">
        <v>-0.33</v>
      </c>
      <c r="G18">
        <v>1</v>
      </c>
      <c r="H18">
        <v>0.66</v>
      </c>
      <c r="I18">
        <v>-1</v>
      </c>
      <c r="K18">
        <v>-0.66</v>
      </c>
      <c r="L18">
        <v>-1</v>
      </c>
      <c r="M18">
        <v>-0.66</v>
      </c>
      <c r="N18">
        <v>-1</v>
      </c>
      <c r="O18">
        <v>0.66</v>
      </c>
      <c r="P18">
        <v>0.66</v>
      </c>
      <c r="Q18">
        <v>-0.33</v>
      </c>
      <c r="R18">
        <v>1</v>
      </c>
      <c r="S18">
        <v>0.66</v>
      </c>
      <c r="U18" s="10" t="s">
        <v>73</v>
      </c>
      <c r="V18">
        <f t="shared" si="0"/>
        <v>1</v>
      </c>
    </row>
    <row r="19" spans="1:22" x14ac:dyDescent="0.25">
      <c r="A19" t="s">
        <v>111</v>
      </c>
      <c r="B19">
        <v>0.66</v>
      </c>
      <c r="C19">
        <v>0.66</v>
      </c>
      <c r="D19">
        <v>-0.66</v>
      </c>
      <c r="E19">
        <v>0.66</v>
      </c>
      <c r="F19">
        <v>0.66</v>
      </c>
      <c r="G19">
        <v>0.33</v>
      </c>
      <c r="H19">
        <v>1</v>
      </c>
      <c r="I19">
        <v>-0.66</v>
      </c>
      <c r="K19">
        <v>0.33</v>
      </c>
      <c r="L19">
        <v>-0.33</v>
      </c>
      <c r="M19">
        <v>-1</v>
      </c>
      <c r="N19">
        <v>-1</v>
      </c>
      <c r="O19">
        <v>-1</v>
      </c>
      <c r="P19">
        <v>0.66</v>
      </c>
      <c r="Q19">
        <v>-0.33</v>
      </c>
      <c r="R19">
        <v>-0.66</v>
      </c>
      <c r="S19">
        <v>0.66</v>
      </c>
      <c r="U19" s="10" t="s">
        <v>73</v>
      </c>
      <c r="V19">
        <f t="shared" si="0"/>
        <v>1</v>
      </c>
    </row>
    <row r="20" spans="1:22" x14ac:dyDescent="0.25">
      <c r="A20" t="s">
        <v>114</v>
      </c>
      <c r="B20">
        <v>-0.33</v>
      </c>
      <c r="C20">
        <v>-0.33</v>
      </c>
      <c r="D20">
        <v>-0.33</v>
      </c>
      <c r="E20">
        <v>0.66</v>
      </c>
      <c r="F20">
        <v>0.66</v>
      </c>
      <c r="G20">
        <v>0.66</v>
      </c>
      <c r="H20">
        <v>1</v>
      </c>
      <c r="I20">
        <v>-0.66</v>
      </c>
      <c r="K20">
        <v>-0.33</v>
      </c>
      <c r="L20">
        <v>-0.66</v>
      </c>
      <c r="M20">
        <v>-1</v>
      </c>
      <c r="N20">
        <v>-1</v>
      </c>
      <c r="O20">
        <v>-0.66</v>
      </c>
      <c r="P20">
        <v>0.33</v>
      </c>
      <c r="Q20">
        <v>0.33</v>
      </c>
      <c r="R20">
        <v>0.66</v>
      </c>
      <c r="S20">
        <v>0.66</v>
      </c>
      <c r="U20" s="10" t="s">
        <v>73</v>
      </c>
      <c r="V20">
        <f t="shared" si="0"/>
        <v>1</v>
      </c>
    </row>
    <row r="21" spans="1:22" x14ac:dyDescent="0.25">
      <c r="A21" t="s">
        <v>116</v>
      </c>
      <c r="B21">
        <v>0.66</v>
      </c>
      <c r="C21">
        <v>0.33</v>
      </c>
      <c r="D21">
        <v>0.33</v>
      </c>
      <c r="E21">
        <v>0.66</v>
      </c>
      <c r="F21">
        <v>-0.33</v>
      </c>
      <c r="G21">
        <v>1</v>
      </c>
      <c r="H21">
        <v>0.66</v>
      </c>
      <c r="I21">
        <v>0.33</v>
      </c>
      <c r="K21">
        <v>-1</v>
      </c>
      <c r="L21">
        <v>-0.66</v>
      </c>
      <c r="M21">
        <v>0.33</v>
      </c>
      <c r="N21">
        <v>-0.66</v>
      </c>
      <c r="O21">
        <v>-0.33</v>
      </c>
      <c r="P21">
        <v>0.66</v>
      </c>
      <c r="Q21">
        <v>-0.33</v>
      </c>
      <c r="R21">
        <v>1</v>
      </c>
      <c r="S21">
        <v>1</v>
      </c>
      <c r="U21" s="10" t="s">
        <v>98</v>
      </c>
      <c r="V21">
        <f t="shared" si="0"/>
        <v>0</v>
      </c>
    </row>
    <row r="22" spans="1:22" x14ac:dyDescent="0.25">
      <c r="A22" t="s">
        <v>117</v>
      </c>
      <c r="B22">
        <v>1</v>
      </c>
      <c r="C22">
        <v>0.33</v>
      </c>
      <c r="D22">
        <v>-0.66</v>
      </c>
      <c r="E22">
        <v>0.66</v>
      </c>
      <c r="F22">
        <v>0.33</v>
      </c>
      <c r="G22">
        <v>0.66</v>
      </c>
      <c r="H22">
        <v>1</v>
      </c>
      <c r="I22">
        <v>1</v>
      </c>
      <c r="K22">
        <v>-0.33</v>
      </c>
      <c r="L22">
        <v>0.33</v>
      </c>
      <c r="M22">
        <v>-0.33</v>
      </c>
      <c r="N22">
        <v>0.33</v>
      </c>
      <c r="O22">
        <v>-0.66</v>
      </c>
      <c r="P22">
        <v>0.66</v>
      </c>
      <c r="Q22">
        <v>-1</v>
      </c>
      <c r="R22">
        <v>1</v>
      </c>
      <c r="S22">
        <v>1</v>
      </c>
      <c r="U22" s="10" t="s">
        <v>73</v>
      </c>
      <c r="V22">
        <f t="shared" si="0"/>
        <v>1</v>
      </c>
    </row>
    <row r="23" spans="1:22" x14ac:dyDescent="0.25">
      <c r="A23" t="s">
        <v>118</v>
      </c>
      <c r="B23">
        <v>0.66</v>
      </c>
      <c r="C23">
        <v>-0.33</v>
      </c>
      <c r="D23">
        <v>-1</v>
      </c>
      <c r="E23">
        <v>0.66</v>
      </c>
      <c r="F23">
        <v>-0.33</v>
      </c>
      <c r="G23">
        <v>0.33</v>
      </c>
      <c r="H23">
        <v>-0.33</v>
      </c>
      <c r="I23">
        <v>-1</v>
      </c>
      <c r="K23">
        <v>0.33</v>
      </c>
      <c r="L23">
        <v>-0.66</v>
      </c>
      <c r="M23">
        <v>0.66</v>
      </c>
      <c r="N23">
        <v>1</v>
      </c>
      <c r="O23">
        <v>-0.66</v>
      </c>
      <c r="P23">
        <v>-0.66</v>
      </c>
      <c r="Q23">
        <v>-1</v>
      </c>
      <c r="R23">
        <v>0.66</v>
      </c>
      <c r="S23">
        <v>0.66</v>
      </c>
      <c r="U23" s="10" t="s">
        <v>73</v>
      </c>
      <c r="V23">
        <f t="shared" si="0"/>
        <v>1</v>
      </c>
    </row>
    <row r="24" spans="1:22" x14ac:dyDescent="0.25">
      <c r="A24" t="s">
        <v>119</v>
      </c>
      <c r="B24">
        <v>-0.33</v>
      </c>
      <c r="C24">
        <v>-0.33</v>
      </c>
      <c r="D24">
        <v>-0.66</v>
      </c>
      <c r="E24">
        <v>0.66</v>
      </c>
      <c r="F24">
        <v>-0.33</v>
      </c>
      <c r="G24">
        <v>-0.33</v>
      </c>
      <c r="H24">
        <v>-0.33</v>
      </c>
      <c r="I24">
        <v>-0.33</v>
      </c>
      <c r="K24">
        <v>0.66</v>
      </c>
      <c r="L24">
        <v>0.33</v>
      </c>
      <c r="M24">
        <v>-1</v>
      </c>
      <c r="N24">
        <v>-1</v>
      </c>
      <c r="O24">
        <v>0.66</v>
      </c>
      <c r="P24">
        <v>-0.33</v>
      </c>
      <c r="Q24">
        <v>0.33</v>
      </c>
      <c r="R24">
        <v>-0.33</v>
      </c>
      <c r="S24">
        <v>1</v>
      </c>
      <c r="U24" s="10" t="s">
        <v>79</v>
      </c>
      <c r="V24">
        <f t="shared" si="0"/>
        <v>0</v>
      </c>
    </row>
    <row r="25" spans="1:22" x14ac:dyDescent="0.25">
      <c r="A25" t="s">
        <v>120</v>
      </c>
      <c r="B25">
        <v>-1</v>
      </c>
      <c r="C25">
        <v>-0.66</v>
      </c>
      <c r="D25">
        <v>1</v>
      </c>
      <c r="E25">
        <v>0.66</v>
      </c>
      <c r="F25">
        <v>-0.33</v>
      </c>
      <c r="G25">
        <v>0.33</v>
      </c>
      <c r="H25">
        <v>1</v>
      </c>
      <c r="I25">
        <v>-0.66</v>
      </c>
      <c r="K25">
        <v>-1</v>
      </c>
      <c r="L25">
        <v>-1</v>
      </c>
      <c r="M25">
        <v>0.33</v>
      </c>
      <c r="N25">
        <v>-1</v>
      </c>
      <c r="O25">
        <v>-0.66</v>
      </c>
      <c r="P25">
        <v>1</v>
      </c>
      <c r="Q25">
        <v>-0.33</v>
      </c>
      <c r="R25">
        <v>1</v>
      </c>
      <c r="S25">
        <v>1</v>
      </c>
      <c r="U25" s="10" t="s">
        <v>73</v>
      </c>
      <c r="V25">
        <f t="shared" si="0"/>
        <v>1</v>
      </c>
    </row>
    <row r="26" spans="1:22" x14ac:dyDescent="0.25">
      <c r="A26" t="s">
        <v>121</v>
      </c>
      <c r="B26">
        <v>-0.66</v>
      </c>
      <c r="C26">
        <v>-0.33</v>
      </c>
      <c r="D26">
        <v>-0.66</v>
      </c>
      <c r="E26">
        <v>0.33</v>
      </c>
      <c r="F26">
        <v>-0.66</v>
      </c>
      <c r="G26">
        <v>0.66</v>
      </c>
      <c r="H26">
        <v>-0.33</v>
      </c>
      <c r="I26">
        <v>-0.66</v>
      </c>
      <c r="K26">
        <v>-0.33</v>
      </c>
      <c r="L26">
        <v>-0.66</v>
      </c>
      <c r="M26">
        <v>-0.66</v>
      </c>
      <c r="N26">
        <v>-0.66</v>
      </c>
      <c r="O26">
        <v>-1</v>
      </c>
      <c r="P26">
        <v>0.66</v>
      </c>
      <c r="Q26">
        <v>-0.66</v>
      </c>
      <c r="R26">
        <v>0.66</v>
      </c>
      <c r="S26">
        <v>0.66</v>
      </c>
      <c r="U26" s="10" t="s">
        <v>98</v>
      </c>
      <c r="V26">
        <f t="shared" si="0"/>
        <v>0</v>
      </c>
    </row>
    <row r="27" spans="1:22" x14ac:dyDescent="0.25">
      <c r="A27" t="s">
        <v>124</v>
      </c>
      <c r="B27">
        <v>0.33</v>
      </c>
      <c r="C27">
        <v>0.33</v>
      </c>
      <c r="D27">
        <v>-0.66</v>
      </c>
      <c r="E27">
        <v>0.33</v>
      </c>
      <c r="F27">
        <v>0.33</v>
      </c>
      <c r="G27">
        <v>-0.33</v>
      </c>
      <c r="H27">
        <v>0.66</v>
      </c>
      <c r="I27">
        <v>-0.66</v>
      </c>
      <c r="K27">
        <v>-0.33</v>
      </c>
      <c r="L27">
        <v>-0.66</v>
      </c>
      <c r="M27">
        <v>-0.66</v>
      </c>
      <c r="N27">
        <v>-1</v>
      </c>
      <c r="O27">
        <v>-0.33</v>
      </c>
      <c r="P27">
        <v>0.66</v>
      </c>
      <c r="Q27">
        <v>-0.33</v>
      </c>
      <c r="R27">
        <v>0.66</v>
      </c>
      <c r="S27">
        <v>1</v>
      </c>
      <c r="U27" s="10" t="s">
        <v>73</v>
      </c>
      <c r="V27">
        <f t="shared" si="0"/>
        <v>1</v>
      </c>
    </row>
    <row r="28" spans="1:22" x14ac:dyDescent="0.25">
      <c r="A28" t="s">
        <v>125</v>
      </c>
      <c r="B28">
        <v>0.66</v>
      </c>
      <c r="C28">
        <v>1</v>
      </c>
      <c r="D28">
        <v>1</v>
      </c>
      <c r="E28">
        <v>0.66</v>
      </c>
      <c r="F28">
        <v>0.66</v>
      </c>
      <c r="G28">
        <v>-0.66</v>
      </c>
      <c r="H28">
        <v>0.66</v>
      </c>
      <c r="I28">
        <v>-0.66</v>
      </c>
      <c r="K28">
        <v>-0.66</v>
      </c>
      <c r="L28">
        <v>-1</v>
      </c>
      <c r="M28">
        <v>0.33</v>
      </c>
      <c r="N28">
        <v>0.33</v>
      </c>
      <c r="O28">
        <v>-1</v>
      </c>
      <c r="P28">
        <v>1</v>
      </c>
      <c r="Q28">
        <v>0.66</v>
      </c>
      <c r="R28">
        <v>1</v>
      </c>
      <c r="S28">
        <v>-0.66</v>
      </c>
      <c r="U28" s="10" t="s">
        <v>73</v>
      </c>
      <c r="V28">
        <f t="shared" si="0"/>
        <v>1</v>
      </c>
    </row>
    <row r="29" spans="1:22" x14ac:dyDescent="0.25">
      <c r="A29" t="s">
        <v>126</v>
      </c>
      <c r="B29">
        <v>0.33</v>
      </c>
      <c r="C29">
        <v>-0.33</v>
      </c>
      <c r="D29">
        <v>-1</v>
      </c>
      <c r="E29">
        <v>0.66</v>
      </c>
      <c r="F29">
        <v>0.33</v>
      </c>
      <c r="G29">
        <v>-0.33</v>
      </c>
      <c r="H29">
        <v>0.33</v>
      </c>
      <c r="I29">
        <v>-0.66</v>
      </c>
      <c r="K29">
        <v>0.33</v>
      </c>
      <c r="L29">
        <v>-0.66</v>
      </c>
      <c r="M29">
        <v>-1</v>
      </c>
      <c r="N29">
        <v>-1</v>
      </c>
      <c r="O29">
        <v>0.33</v>
      </c>
      <c r="P29">
        <v>0.33</v>
      </c>
      <c r="Q29">
        <v>-0.33</v>
      </c>
      <c r="R29">
        <v>-0.33</v>
      </c>
      <c r="S29">
        <v>1</v>
      </c>
      <c r="U29" s="10" t="s">
        <v>73</v>
      </c>
      <c r="V29">
        <f t="shared" si="0"/>
        <v>1</v>
      </c>
    </row>
    <row r="30" spans="1:22" x14ac:dyDescent="0.25">
      <c r="A30" t="s">
        <v>127</v>
      </c>
      <c r="B30">
        <v>-1</v>
      </c>
      <c r="C30">
        <v>-1</v>
      </c>
      <c r="D30">
        <v>-1</v>
      </c>
      <c r="E30">
        <v>-0.66</v>
      </c>
      <c r="F30">
        <v>-1</v>
      </c>
      <c r="G30">
        <v>-0.33</v>
      </c>
      <c r="H30">
        <v>-0.66</v>
      </c>
      <c r="I30">
        <v>-1</v>
      </c>
      <c r="K30">
        <v>0.66</v>
      </c>
      <c r="L30">
        <v>0.33</v>
      </c>
      <c r="M30">
        <v>-1</v>
      </c>
      <c r="N30">
        <v>-1</v>
      </c>
      <c r="O30">
        <v>-1</v>
      </c>
      <c r="P30">
        <v>-0.33</v>
      </c>
      <c r="Q30">
        <v>-0.66</v>
      </c>
      <c r="R30">
        <v>-1</v>
      </c>
      <c r="S30">
        <v>1</v>
      </c>
      <c r="U30" s="10" t="s">
        <v>79</v>
      </c>
      <c r="V30">
        <f t="shared" si="0"/>
        <v>0</v>
      </c>
    </row>
    <row r="31" spans="1:22" x14ac:dyDescent="0.25">
      <c r="A31" t="s">
        <v>129</v>
      </c>
      <c r="B31">
        <v>-0.66</v>
      </c>
      <c r="C31">
        <v>-0.66</v>
      </c>
      <c r="D31">
        <v>-1</v>
      </c>
      <c r="E31">
        <v>-1</v>
      </c>
      <c r="F31">
        <v>-0.66</v>
      </c>
      <c r="G31">
        <v>0.33</v>
      </c>
      <c r="H31">
        <v>-0.33</v>
      </c>
      <c r="I31">
        <v>-1</v>
      </c>
      <c r="K31">
        <v>-0.66</v>
      </c>
      <c r="L31">
        <v>0.66</v>
      </c>
      <c r="M31">
        <v>-1</v>
      </c>
      <c r="N31">
        <v>-1</v>
      </c>
      <c r="O31">
        <v>-1</v>
      </c>
      <c r="P31">
        <v>-0.33</v>
      </c>
      <c r="Q31">
        <v>-0.66</v>
      </c>
      <c r="R31">
        <v>-1</v>
      </c>
      <c r="S31">
        <v>0.33</v>
      </c>
      <c r="U31" s="10" t="s">
        <v>79</v>
      </c>
      <c r="V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61CC-B18A-45F0-AE99-ED00DD9775C8}">
  <dimension ref="A1:AK32"/>
  <sheetViews>
    <sheetView topLeftCell="L1" workbookViewId="0">
      <selection activeCell="Q12" sqref="Q12"/>
    </sheetView>
  </sheetViews>
  <sheetFormatPr baseColWidth="10" defaultRowHeight="15" x14ac:dyDescent="0.25"/>
  <cols>
    <col min="4" max="4" width="14.7109375" bestFit="1" customWidth="1"/>
    <col min="10" max="10" width="12.28515625" bestFit="1" customWidth="1"/>
    <col min="16" max="16" width="11.85546875" bestFit="1" customWidth="1"/>
  </cols>
  <sheetData>
    <row r="1" spans="1:37" ht="15.75" thickBot="1" x14ac:dyDescent="0.3">
      <c r="A1" s="11" t="s">
        <v>136</v>
      </c>
      <c r="B1" s="11" t="s">
        <v>159</v>
      </c>
      <c r="C1" s="11" t="s">
        <v>160</v>
      </c>
      <c r="D1" s="11" t="s">
        <v>163</v>
      </c>
      <c r="G1" s="11" t="s">
        <v>136</v>
      </c>
      <c r="H1" s="11" t="s">
        <v>158</v>
      </c>
      <c r="I1" s="11" t="s">
        <v>160</v>
      </c>
      <c r="J1" s="11" t="s">
        <v>162</v>
      </c>
      <c r="M1" s="28" t="s">
        <v>136</v>
      </c>
      <c r="N1" s="28" t="s">
        <v>162</v>
      </c>
      <c r="O1" s="11"/>
      <c r="P1" s="11"/>
      <c r="R1" s="11" t="s">
        <v>136</v>
      </c>
      <c r="S1" s="11" t="s">
        <v>163</v>
      </c>
      <c r="AA1" t="s">
        <v>169</v>
      </c>
      <c r="AB1" s="1" t="s">
        <v>170</v>
      </c>
      <c r="AH1" t="s">
        <v>167</v>
      </c>
      <c r="AI1" s="1" t="s">
        <v>168</v>
      </c>
    </row>
    <row r="2" spans="1:37" x14ac:dyDescent="0.25">
      <c r="A2">
        <v>1</v>
      </c>
      <c r="B2">
        <v>0.66</v>
      </c>
      <c r="C2">
        <v>1</v>
      </c>
      <c r="D2">
        <v>0.98044091879082274</v>
      </c>
      <c r="G2">
        <v>1</v>
      </c>
      <c r="H2">
        <v>-1</v>
      </c>
      <c r="I2">
        <v>1</v>
      </c>
      <c r="J2">
        <v>0.96976892401611792</v>
      </c>
      <c r="M2">
        <v>0</v>
      </c>
      <c r="N2">
        <v>0.41166422108795198</v>
      </c>
      <c r="O2" s="26" t="s">
        <v>161</v>
      </c>
      <c r="R2">
        <v>0</v>
      </c>
      <c r="S2">
        <v>0.62167916676103674</v>
      </c>
      <c r="T2" t="s">
        <v>161</v>
      </c>
      <c r="Z2" s="11" t="s">
        <v>136</v>
      </c>
      <c r="AA2" s="11" t="s">
        <v>159</v>
      </c>
      <c r="AB2" s="11" t="s">
        <v>160</v>
      </c>
      <c r="AC2" s="11" t="s">
        <v>163</v>
      </c>
      <c r="AG2" s="11" t="s">
        <v>136</v>
      </c>
      <c r="AH2" s="11" t="s">
        <v>158</v>
      </c>
      <c r="AI2" s="11" t="s">
        <v>160</v>
      </c>
      <c r="AJ2" s="11" t="s">
        <v>162</v>
      </c>
    </row>
    <row r="3" spans="1:37" ht="15.75" thickBot="1" x14ac:dyDescent="0.3">
      <c r="A3">
        <v>0</v>
      </c>
      <c r="B3">
        <v>0.33</v>
      </c>
      <c r="C3">
        <v>-0.33</v>
      </c>
      <c r="D3">
        <v>0.62167916676103674</v>
      </c>
      <c r="G3">
        <v>0</v>
      </c>
      <c r="H3">
        <v>-0.33</v>
      </c>
      <c r="I3">
        <v>-0.33</v>
      </c>
      <c r="J3">
        <v>0.41166422108795198</v>
      </c>
      <c r="M3">
        <v>0</v>
      </c>
      <c r="N3">
        <v>0.38642571073904303</v>
      </c>
      <c r="O3" s="27">
        <f>+AVERAGE(N2:N11)</f>
        <v>0.4143354348372606</v>
      </c>
      <c r="R3">
        <v>0</v>
      </c>
      <c r="S3">
        <v>0.64728114258325398</v>
      </c>
      <c r="T3">
        <f>+AVERAGE(S2:S11)</f>
        <v>0.45618619572161279</v>
      </c>
      <c r="Z3">
        <v>0</v>
      </c>
      <c r="AA3">
        <v>-1</v>
      </c>
      <c r="AB3">
        <v>-0.66</v>
      </c>
      <c r="AC3">
        <v>5.9867635638654063E-2</v>
      </c>
      <c r="AG3">
        <v>0</v>
      </c>
      <c r="AH3">
        <v>0.66</v>
      </c>
      <c r="AI3">
        <v>-0.33</v>
      </c>
      <c r="AJ3">
        <v>8.6620831333347831E-2</v>
      </c>
    </row>
    <row r="4" spans="1:37" x14ac:dyDescent="0.25">
      <c r="A4">
        <v>1</v>
      </c>
      <c r="B4">
        <v>-0.33</v>
      </c>
      <c r="C4">
        <v>0.66</v>
      </c>
      <c r="D4">
        <v>0.78542135153791048</v>
      </c>
      <c r="G4">
        <v>1</v>
      </c>
      <c r="H4">
        <v>-1</v>
      </c>
      <c r="I4">
        <v>0.66</v>
      </c>
      <c r="J4">
        <v>0.9445934949879673</v>
      </c>
      <c r="M4">
        <v>0</v>
      </c>
      <c r="N4">
        <v>0.57666161867193544</v>
      </c>
      <c r="P4" t="s">
        <v>165</v>
      </c>
      <c r="Q4">
        <f>+MIN(N2:N11)</f>
        <v>8.6620831333347831E-2</v>
      </c>
      <c r="R4">
        <v>0</v>
      </c>
      <c r="S4" s="1">
        <v>0.75618976786852532</v>
      </c>
      <c r="U4" t="s">
        <v>165</v>
      </c>
      <c r="V4">
        <f>+MIN(S2:S11)</f>
        <v>5.9867635638654063E-2</v>
      </c>
      <c r="Z4">
        <v>0</v>
      </c>
      <c r="AA4">
        <v>-0.66</v>
      </c>
      <c r="AB4">
        <v>-0.33</v>
      </c>
      <c r="AC4">
        <v>0.19639493564067559</v>
      </c>
      <c r="AG4">
        <v>0</v>
      </c>
      <c r="AH4">
        <v>0.33</v>
      </c>
      <c r="AI4">
        <v>-0.66</v>
      </c>
      <c r="AJ4">
        <v>9.0876887564026787E-2</v>
      </c>
    </row>
    <row r="5" spans="1:37" x14ac:dyDescent="0.25">
      <c r="A5">
        <v>1</v>
      </c>
      <c r="B5">
        <v>-0.66</v>
      </c>
      <c r="C5">
        <v>0.66</v>
      </c>
      <c r="D5">
        <v>0.65978210837508666</v>
      </c>
      <c r="G5">
        <v>1</v>
      </c>
      <c r="H5">
        <v>-1</v>
      </c>
      <c r="I5">
        <v>0.66</v>
      </c>
      <c r="J5">
        <v>0.9445934949879673</v>
      </c>
      <c r="M5">
        <v>0</v>
      </c>
      <c r="N5">
        <v>0.14004743018758439</v>
      </c>
      <c r="O5" t="s">
        <v>164</v>
      </c>
      <c r="P5" t="s">
        <v>166</v>
      </c>
      <c r="Q5">
        <f>+MAX(N2:N11)</f>
        <v>0.89564045340461618</v>
      </c>
      <c r="R5">
        <v>0</v>
      </c>
      <c r="S5">
        <v>0.33568550964434041</v>
      </c>
      <c r="T5" t="s">
        <v>164</v>
      </c>
      <c r="U5" t="s">
        <v>166</v>
      </c>
      <c r="V5">
        <f>+MAX(S2:S11)</f>
        <v>0.78542135153791048</v>
      </c>
      <c r="Z5">
        <v>0</v>
      </c>
      <c r="AA5">
        <v>-0.66</v>
      </c>
      <c r="AB5">
        <v>-0.33</v>
      </c>
      <c r="AC5">
        <v>0.19639493564067559</v>
      </c>
      <c r="AG5">
        <v>0</v>
      </c>
      <c r="AH5">
        <v>1</v>
      </c>
      <c r="AI5">
        <v>0.33</v>
      </c>
      <c r="AJ5">
        <v>0.14004743018758439</v>
      </c>
    </row>
    <row r="6" spans="1:37" x14ac:dyDescent="0.25">
      <c r="A6">
        <v>0</v>
      </c>
      <c r="B6">
        <v>-0.33</v>
      </c>
      <c r="C6">
        <v>0.33</v>
      </c>
      <c r="D6">
        <v>0.64728114258325398</v>
      </c>
      <c r="G6">
        <v>0</v>
      </c>
      <c r="H6">
        <v>0.33</v>
      </c>
      <c r="I6">
        <v>0.33</v>
      </c>
      <c r="J6">
        <v>0.38642571073904303</v>
      </c>
      <c r="M6">
        <v>0</v>
      </c>
      <c r="N6">
        <v>0.82290569715483997</v>
      </c>
      <c r="O6">
        <f>+_xlfn.STDEV.S(N2:N11)</f>
        <v>0.29928448619333614</v>
      </c>
      <c r="R6">
        <v>0</v>
      </c>
      <c r="S6">
        <v>0.64728114258325398</v>
      </c>
      <c r="T6">
        <f>+_xlfn.STDEV.S(S2:S11)</f>
        <v>0.26355223974566622</v>
      </c>
      <c r="Z6">
        <v>1</v>
      </c>
      <c r="AA6">
        <v>-0.33</v>
      </c>
      <c r="AB6">
        <v>-0.33</v>
      </c>
      <c r="AC6">
        <v>0.3156663693178014</v>
      </c>
      <c r="AD6">
        <f>+AVERAGE(AC3:AC13)</f>
        <v>0.35899889176245775</v>
      </c>
      <c r="AG6">
        <v>0</v>
      </c>
      <c r="AH6">
        <v>0.33</v>
      </c>
      <c r="AI6">
        <v>-0.33</v>
      </c>
      <c r="AJ6">
        <v>0.15584987955732449</v>
      </c>
    </row>
    <row r="7" spans="1:37" x14ac:dyDescent="0.25">
      <c r="A7">
        <v>1</v>
      </c>
      <c r="B7">
        <v>1</v>
      </c>
      <c r="C7">
        <v>-0.66</v>
      </c>
      <c r="D7">
        <v>0.74949811256035559</v>
      </c>
      <c r="G7">
        <v>1</v>
      </c>
      <c r="H7">
        <v>-1</v>
      </c>
      <c r="I7">
        <v>-0.66</v>
      </c>
      <c r="J7">
        <v>0.59433293083803207</v>
      </c>
      <c r="M7">
        <v>0</v>
      </c>
      <c r="N7" s="1">
        <v>0.89564045340461618</v>
      </c>
      <c r="R7">
        <v>0</v>
      </c>
      <c r="S7" s="1">
        <v>0.78542135153791048</v>
      </c>
      <c r="Z7">
        <v>1</v>
      </c>
      <c r="AA7">
        <v>-0.33</v>
      </c>
      <c r="AB7">
        <v>-0.33</v>
      </c>
      <c r="AC7">
        <v>0.3156663693178014</v>
      </c>
      <c r="AG7">
        <v>1</v>
      </c>
      <c r="AH7">
        <v>0.66</v>
      </c>
      <c r="AI7">
        <v>0.33</v>
      </c>
      <c r="AJ7">
        <v>0.24443149701859701</v>
      </c>
    </row>
    <row r="8" spans="1:37" x14ac:dyDescent="0.25">
      <c r="A8">
        <v>1</v>
      </c>
      <c r="B8">
        <v>-0.33</v>
      </c>
      <c r="C8">
        <v>0.33</v>
      </c>
      <c r="D8">
        <v>0.64728114258325398</v>
      </c>
      <c r="G8">
        <v>1</v>
      </c>
      <c r="H8">
        <v>-0.66</v>
      </c>
      <c r="I8">
        <v>0.33</v>
      </c>
      <c r="J8">
        <v>0.82290569715483997</v>
      </c>
      <c r="M8">
        <v>0</v>
      </c>
      <c r="N8">
        <v>0.15584987955732449</v>
      </c>
      <c r="R8">
        <v>0</v>
      </c>
      <c r="S8">
        <v>0.3156663693178014</v>
      </c>
      <c r="Z8">
        <v>0</v>
      </c>
      <c r="AA8">
        <v>-0.33</v>
      </c>
      <c r="AB8">
        <v>-0.33</v>
      </c>
      <c r="AC8">
        <v>0.3156663693178014</v>
      </c>
      <c r="AG8">
        <v>0</v>
      </c>
      <c r="AH8">
        <v>0.33</v>
      </c>
      <c r="AI8">
        <v>0.33</v>
      </c>
      <c r="AJ8">
        <v>0.38642571073904303</v>
      </c>
    </row>
    <row r="9" spans="1:37" x14ac:dyDescent="0.25">
      <c r="A9">
        <v>0</v>
      </c>
      <c r="B9">
        <v>0.66</v>
      </c>
      <c r="C9">
        <v>-0.33</v>
      </c>
      <c r="D9">
        <v>0.75618976786852532</v>
      </c>
      <c r="G9">
        <v>0</v>
      </c>
      <c r="H9">
        <v>-0.66</v>
      </c>
      <c r="I9">
        <v>-0.33</v>
      </c>
      <c r="J9">
        <v>0.57666161867193544</v>
      </c>
      <c r="M9">
        <v>0</v>
      </c>
      <c r="N9">
        <v>0.57666161867193544</v>
      </c>
      <c r="R9">
        <v>0</v>
      </c>
      <c r="S9">
        <v>0.19639493564067559</v>
      </c>
      <c r="Z9">
        <v>0</v>
      </c>
      <c r="AA9">
        <v>-1</v>
      </c>
      <c r="AB9">
        <v>0.33</v>
      </c>
      <c r="AC9">
        <v>0.33568550964434041</v>
      </c>
      <c r="AG9">
        <v>0</v>
      </c>
      <c r="AH9">
        <v>-0.33</v>
      </c>
      <c r="AI9">
        <v>-0.33</v>
      </c>
      <c r="AJ9">
        <v>0.41166422108795198</v>
      </c>
    </row>
    <row r="10" spans="1:37" x14ac:dyDescent="0.25">
      <c r="A10">
        <v>1</v>
      </c>
      <c r="B10">
        <v>0.33</v>
      </c>
      <c r="C10">
        <v>-0.66</v>
      </c>
      <c r="D10">
        <v>0.45171271126890372</v>
      </c>
      <c r="G10">
        <v>1</v>
      </c>
      <c r="H10">
        <v>-0.66</v>
      </c>
      <c r="I10">
        <v>-0.66</v>
      </c>
      <c r="J10">
        <v>0.42446905971783078</v>
      </c>
      <c r="M10">
        <v>0</v>
      </c>
      <c r="N10">
        <v>9.0876887564026787E-2</v>
      </c>
      <c r="R10">
        <v>0</v>
      </c>
      <c r="S10">
        <v>5.9867635638654063E-2</v>
      </c>
      <c r="Z10">
        <v>1</v>
      </c>
      <c r="AA10">
        <v>0.33</v>
      </c>
      <c r="AB10">
        <v>-0.66</v>
      </c>
      <c r="AC10">
        <v>0.45171271126890372</v>
      </c>
      <c r="AG10">
        <v>1</v>
      </c>
      <c r="AH10">
        <v>-0.66</v>
      </c>
      <c r="AI10">
        <v>-0.66</v>
      </c>
      <c r="AJ10">
        <v>0.42446905971783078</v>
      </c>
    </row>
    <row r="11" spans="1:37" x14ac:dyDescent="0.25">
      <c r="A11">
        <v>0</v>
      </c>
      <c r="B11">
        <v>-1</v>
      </c>
      <c r="C11">
        <v>0.33</v>
      </c>
      <c r="D11">
        <v>0.33568550964434041</v>
      </c>
      <c r="G11">
        <v>0</v>
      </c>
      <c r="H11">
        <v>1</v>
      </c>
      <c r="I11">
        <v>0.33</v>
      </c>
      <c r="J11">
        <v>0.14004743018758439</v>
      </c>
      <c r="M11">
        <v>0</v>
      </c>
      <c r="N11">
        <v>8.6620831333347831E-2</v>
      </c>
      <c r="R11">
        <v>0</v>
      </c>
      <c r="S11">
        <v>0.19639493564067559</v>
      </c>
      <c r="Z11">
        <v>1</v>
      </c>
      <c r="AA11">
        <v>-0.66</v>
      </c>
      <c r="AB11">
        <v>0.33</v>
      </c>
      <c r="AC11">
        <v>0.4929726642560901</v>
      </c>
      <c r="AG11">
        <v>0</v>
      </c>
      <c r="AH11">
        <v>-0.66</v>
      </c>
      <c r="AI11">
        <v>-0.33</v>
      </c>
      <c r="AJ11">
        <v>0.57666161867193544</v>
      </c>
      <c r="AK11">
        <f>+AVERAGE(AJ3:AJ12)</f>
        <v>0.30937087545495773</v>
      </c>
    </row>
    <row r="12" spans="1:37" ht="15.75" thickBot="1" x14ac:dyDescent="0.3">
      <c r="A12">
        <v>1</v>
      </c>
      <c r="B12">
        <v>-0.33</v>
      </c>
      <c r="C12">
        <v>-0.33</v>
      </c>
      <c r="D12">
        <v>0.3156663693178014</v>
      </c>
      <c r="G12">
        <v>1</v>
      </c>
      <c r="H12">
        <v>-0.66</v>
      </c>
      <c r="I12">
        <v>-0.33</v>
      </c>
      <c r="J12">
        <v>0.57666161867193544</v>
      </c>
      <c r="M12">
        <v>1</v>
      </c>
      <c r="N12">
        <v>0.96976892401611792</v>
      </c>
      <c r="R12">
        <v>1</v>
      </c>
      <c r="S12">
        <v>0.98044091879082274</v>
      </c>
      <c r="Z12">
        <v>0</v>
      </c>
      <c r="AA12">
        <v>0.33</v>
      </c>
      <c r="AB12">
        <v>-0.33</v>
      </c>
      <c r="AC12">
        <v>0.62167916676103674</v>
      </c>
      <c r="AG12">
        <v>0</v>
      </c>
      <c r="AH12">
        <v>-0.66</v>
      </c>
      <c r="AI12">
        <v>-0.33</v>
      </c>
      <c r="AJ12">
        <v>0.57666161867193544</v>
      </c>
    </row>
    <row r="13" spans="1:37" ht="15.75" thickBot="1" x14ac:dyDescent="0.3">
      <c r="A13">
        <v>1</v>
      </c>
      <c r="B13">
        <v>-0.33</v>
      </c>
      <c r="C13">
        <v>0.66</v>
      </c>
      <c r="D13">
        <v>0.78542135153791048</v>
      </c>
      <c r="G13">
        <v>1</v>
      </c>
      <c r="H13">
        <v>-0.66</v>
      </c>
      <c r="I13">
        <v>0.66</v>
      </c>
      <c r="J13">
        <v>0.89564045340461618</v>
      </c>
      <c r="M13">
        <v>1</v>
      </c>
      <c r="N13">
        <v>0.9445934949879673</v>
      </c>
      <c r="O13" t="s">
        <v>161</v>
      </c>
      <c r="R13">
        <v>1</v>
      </c>
      <c r="S13">
        <v>0.78542135153791048</v>
      </c>
      <c r="T13" t="s">
        <v>161</v>
      </c>
      <c r="Z13">
        <v>0</v>
      </c>
      <c r="AA13">
        <v>-0.33</v>
      </c>
      <c r="AB13">
        <v>0.33</v>
      </c>
      <c r="AC13">
        <v>0.64728114258325398</v>
      </c>
      <c r="AG13" s="15">
        <v>1</v>
      </c>
      <c r="AH13" s="16">
        <v>-0.66</v>
      </c>
      <c r="AI13" s="16">
        <v>-0.33</v>
      </c>
      <c r="AJ13" s="17">
        <v>0.57666161867193544</v>
      </c>
    </row>
    <row r="14" spans="1:37" x14ac:dyDescent="0.25">
      <c r="A14">
        <v>1</v>
      </c>
      <c r="B14">
        <v>0.66</v>
      </c>
      <c r="C14">
        <v>1</v>
      </c>
      <c r="D14">
        <v>0.98044091879082274</v>
      </c>
      <c r="G14">
        <v>1</v>
      </c>
      <c r="H14">
        <v>-0.66</v>
      </c>
      <c r="I14">
        <v>1</v>
      </c>
      <c r="J14">
        <v>0.94168583565361397</v>
      </c>
      <c r="M14">
        <v>1</v>
      </c>
      <c r="N14">
        <v>0.9445934949879673</v>
      </c>
      <c r="O14">
        <f>+AVERAGE(N12:N31)</f>
        <v>0.79283228258132321</v>
      </c>
      <c r="R14">
        <v>1</v>
      </c>
      <c r="S14">
        <v>0.65978210837508666</v>
      </c>
      <c r="T14">
        <f>+AVERAGE(S12:S31)</f>
        <v>0.77190690213521318</v>
      </c>
      <c r="Z14" s="15">
        <v>1</v>
      </c>
      <c r="AA14" s="16">
        <v>-0.33</v>
      </c>
      <c r="AB14" s="16">
        <v>0.33</v>
      </c>
      <c r="AC14" s="17">
        <v>0.64728114258325398</v>
      </c>
      <c r="AG14" s="18">
        <v>1</v>
      </c>
      <c r="AH14" s="19">
        <v>-0.66</v>
      </c>
      <c r="AI14" s="19">
        <v>-0.33</v>
      </c>
      <c r="AJ14" s="20">
        <v>0.57666161867193544</v>
      </c>
    </row>
    <row r="15" spans="1:37" x14ac:dyDescent="0.25">
      <c r="A15">
        <v>0</v>
      </c>
      <c r="B15">
        <v>-0.33</v>
      </c>
      <c r="C15">
        <v>0.33</v>
      </c>
      <c r="D15">
        <v>0.64728114258325398</v>
      </c>
      <c r="G15">
        <v>0</v>
      </c>
      <c r="H15">
        <v>-0.66</v>
      </c>
      <c r="I15">
        <v>0.33</v>
      </c>
      <c r="J15">
        <v>0.82290569715483997</v>
      </c>
      <c r="M15">
        <v>1</v>
      </c>
      <c r="N15">
        <v>0.59433293083803207</v>
      </c>
      <c r="R15">
        <v>1</v>
      </c>
      <c r="S15">
        <v>0.74949811256035559</v>
      </c>
      <c r="U15" t="s">
        <v>165</v>
      </c>
      <c r="V15">
        <f>+MIN(S12:S31)</f>
        <v>0.3156663693178014</v>
      </c>
      <c r="Z15" s="24">
        <v>0</v>
      </c>
      <c r="AA15" s="19">
        <v>-0.33</v>
      </c>
      <c r="AB15" s="19">
        <v>0.33</v>
      </c>
      <c r="AC15" s="20">
        <v>0.64728114258325398</v>
      </c>
      <c r="AG15" s="18">
        <v>1</v>
      </c>
      <c r="AH15" s="19">
        <v>-1</v>
      </c>
      <c r="AI15" s="19">
        <v>-0.66</v>
      </c>
      <c r="AJ15" s="20">
        <v>0.59433293083803207</v>
      </c>
    </row>
    <row r="16" spans="1:37" x14ac:dyDescent="0.25">
      <c r="A16">
        <v>1</v>
      </c>
      <c r="B16">
        <v>0.66</v>
      </c>
      <c r="C16">
        <v>0.33</v>
      </c>
      <c r="D16">
        <v>0.9250323003088895</v>
      </c>
      <c r="G16">
        <v>1</v>
      </c>
      <c r="H16">
        <v>-0.66</v>
      </c>
      <c r="I16">
        <v>0.33</v>
      </c>
      <c r="J16">
        <v>0.82290569715483997</v>
      </c>
      <c r="M16">
        <v>1</v>
      </c>
      <c r="N16">
        <v>0.82290569715483997</v>
      </c>
      <c r="O16" t="s">
        <v>164</v>
      </c>
      <c r="R16">
        <v>1</v>
      </c>
      <c r="S16">
        <v>0.64728114258325398</v>
      </c>
      <c r="T16">
        <f>+_xlfn.STDEV.S(S12:S31)</f>
        <v>0.22260279482582504</v>
      </c>
      <c r="U16" t="s">
        <v>166</v>
      </c>
      <c r="V16">
        <f>+MAX(S12:S31)</f>
        <v>0.98044091879082274</v>
      </c>
      <c r="Z16" s="18">
        <v>1</v>
      </c>
      <c r="AA16" s="19">
        <v>-0.66</v>
      </c>
      <c r="AB16" s="19">
        <v>0.66</v>
      </c>
      <c r="AC16" s="20">
        <v>0.65978210837508666</v>
      </c>
      <c r="AG16" s="18">
        <v>1</v>
      </c>
      <c r="AH16" s="19">
        <v>0.33</v>
      </c>
      <c r="AI16" s="19">
        <v>1</v>
      </c>
      <c r="AJ16" s="20">
        <v>0.68639214061480147</v>
      </c>
    </row>
    <row r="17" spans="1:36" x14ac:dyDescent="0.25">
      <c r="A17">
        <v>1</v>
      </c>
      <c r="B17">
        <v>-0.66</v>
      </c>
      <c r="C17">
        <v>0.33</v>
      </c>
      <c r="D17">
        <v>0.4929726642560901</v>
      </c>
      <c r="G17">
        <v>1</v>
      </c>
      <c r="H17">
        <v>0.66</v>
      </c>
      <c r="I17">
        <v>0.33</v>
      </c>
      <c r="J17">
        <v>0.24443149701859701</v>
      </c>
      <c r="M17">
        <v>1</v>
      </c>
      <c r="N17">
        <v>0.42446905971783078</v>
      </c>
      <c r="O17">
        <f>+_xlfn.STDEV.S(N12:N31)</f>
        <v>0.20691324304415193</v>
      </c>
      <c r="R17">
        <v>1</v>
      </c>
      <c r="S17">
        <v>0.45171271126890372</v>
      </c>
      <c r="Z17" s="18">
        <v>1</v>
      </c>
      <c r="AA17" s="19">
        <v>1</v>
      </c>
      <c r="AB17" s="19">
        <v>-0.66</v>
      </c>
      <c r="AC17" s="20">
        <v>0.74949811256035559</v>
      </c>
      <c r="AG17" s="24">
        <v>0</v>
      </c>
      <c r="AH17" s="19">
        <v>-0.66</v>
      </c>
      <c r="AI17" s="19">
        <v>0.33</v>
      </c>
      <c r="AJ17" s="20">
        <v>0.82290569715483997</v>
      </c>
    </row>
    <row r="18" spans="1:36" x14ac:dyDescent="0.25">
      <c r="A18">
        <v>1</v>
      </c>
      <c r="B18">
        <v>-0.33</v>
      </c>
      <c r="C18">
        <v>0.66</v>
      </c>
      <c r="D18">
        <v>0.78542135153791048</v>
      </c>
      <c r="G18">
        <v>1</v>
      </c>
      <c r="H18">
        <v>-1</v>
      </c>
      <c r="I18">
        <v>0.66</v>
      </c>
      <c r="J18">
        <v>0.9445934949879673</v>
      </c>
      <c r="M18">
        <v>1</v>
      </c>
      <c r="N18">
        <v>0.57666161867193544</v>
      </c>
      <c r="R18">
        <v>1</v>
      </c>
      <c r="S18" s="1">
        <v>0.3156663693178014</v>
      </c>
      <c r="Z18" s="24">
        <v>0</v>
      </c>
      <c r="AA18" s="19">
        <v>0.66</v>
      </c>
      <c r="AB18" s="19">
        <v>-0.33</v>
      </c>
      <c r="AC18" s="20">
        <v>0.75618976786852532</v>
      </c>
      <c r="AG18" s="18">
        <v>1</v>
      </c>
      <c r="AH18" s="19">
        <v>-0.66</v>
      </c>
      <c r="AI18" s="19">
        <v>0.33</v>
      </c>
      <c r="AJ18" s="20">
        <v>0.82290569715483997</v>
      </c>
    </row>
    <row r="19" spans="1:36" x14ac:dyDescent="0.25">
      <c r="A19">
        <v>1</v>
      </c>
      <c r="B19">
        <v>0.66</v>
      </c>
      <c r="C19">
        <v>1</v>
      </c>
      <c r="D19">
        <v>0.98044091879082274</v>
      </c>
      <c r="G19">
        <v>1</v>
      </c>
      <c r="H19">
        <v>-0.33</v>
      </c>
      <c r="I19">
        <v>1</v>
      </c>
      <c r="J19">
        <v>0.89241528852825247</v>
      </c>
      <c r="M19">
        <v>1</v>
      </c>
      <c r="N19">
        <v>0.89564045340461618</v>
      </c>
      <c r="O19" t="s">
        <v>165</v>
      </c>
      <c r="P19">
        <f>+MIN(N12:N31)</f>
        <v>0.24443149701859701</v>
      </c>
      <c r="R19">
        <v>1</v>
      </c>
      <c r="S19">
        <v>0.78542135153791048</v>
      </c>
      <c r="Z19" s="18">
        <v>1</v>
      </c>
      <c r="AA19" s="19">
        <v>-0.33</v>
      </c>
      <c r="AB19" s="19">
        <v>0.66</v>
      </c>
      <c r="AC19" s="20">
        <v>0.78542135153791048</v>
      </c>
      <c r="AG19" s="18">
        <v>1</v>
      </c>
      <c r="AH19" s="19">
        <v>-0.66</v>
      </c>
      <c r="AI19" s="19">
        <v>0.33</v>
      </c>
      <c r="AJ19" s="20">
        <v>0.82290569715483997</v>
      </c>
    </row>
    <row r="20" spans="1:36" x14ac:dyDescent="0.25">
      <c r="A20">
        <v>1</v>
      </c>
      <c r="B20">
        <v>0.66</v>
      </c>
      <c r="C20">
        <v>1</v>
      </c>
      <c r="D20">
        <v>0.98044091879082274</v>
      </c>
      <c r="G20">
        <v>1</v>
      </c>
      <c r="H20">
        <v>-0.66</v>
      </c>
      <c r="I20">
        <v>1</v>
      </c>
      <c r="J20">
        <v>0.94168583565361397</v>
      </c>
      <c r="M20">
        <v>1</v>
      </c>
      <c r="N20">
        <v>0.94168583565361397</v>
      </c>
      <c r="O20" t="s">
        <v>166</v>
      </c>
      <c r="P20">
        <f>+MAX(N12:N31)</f>
        <v>0.96976892401611792</v>
      </c>
      <c r="R20">
        <v>1</v>
      </c>
      <c r="S20">
        <v>0.98044091879082274</v>
      </c>
      <c r="Z20" s="18">
        <v>1</v>
      </c>
      <c r="AA20" s="19">
        <v>-0.33</v>
      </c>
      <c r="AB20" s="19">
        <v>0.66</v>
      </c>
      <c r="AC20" s="20">
        <v>0.78542135153791048</v>
      </c>
      <c r="AG20" s="18">
        <v>1</v>
      </c>
      <c r="AH20" s="19">
        <v>-0.66</v>
      </c>
      <c r="AI20" s="19">
        <v>0.33</v>
      </c>
      <c r="AJ20" s="20">
        <v>0.82290569715483997</v>
      </c>
    </row>
    <row r="21" spans="1:36" x14ac:dyDescent="0.25">
      <c r="A21">
        <v>0</v>
      </c>
      <c r="B21">
        <v>-0.33</v>
      </c>
      <c r="C21">
        <v>0.66</v>
      </c>
      <c r="D21">
        <v>0.78542135153791048</v>
      </c>
      <c r="G21">
        <v>0</v>
      </c>
      <c r="H21">
        <v>-0.66</v>
      </c>
      <c r="I21">
        <v>0.66</v>
      </c>
      <c r="J21">
        <v>0.89564045340461618</v>
      </c>
      <c r="M21">
        <v>1</v>
      </c>
      <c r="N21">
        <v>0.82290569715483997</v>
      </c>
      <c r="R21">
        <v>1</v>
      </c>
      <c r="S21">
        <v>0.9250323003088895</v>
      </c>
      <c r="Z21" s="18">
        <v>1</v>
      </c>
      <c r="AA21" s="19">
        <v>-0.33</v>
      </c>
      <c r="AB21" s="19">
        <v>0.66</v>
      </c>
      <c r="AC21" s="20">
        <v>0.78542135153791048</v>
      </c>
      <c r="AG21" s="18">
        <v>1</v>
      </c>
      <c r="AH21" s="19">
        <v>-0.33</v>
      </c>
      <c r="AI21" s="19">
        <v>1</v>
      </c>
      <c r="AJ21" s="20">
        <v>0.89241528852825247</v>
      </c>
    </row>
    <row r="22" spans="1:36" x14ac:dyDescent="0.25">
      <c r="A22">
        <v>1</v>
      </c>
      <c r="B22">
        <v>0.33</v>
      </c>
      <c r="C22">
        <v>1</v>
      </c>
      <c r="D22">
        <v>0.96371328290723701</v>
      </c>
      <c r="G22">
        <v>1</v>
      </c>
      <c r="H22">
        <v>0.33</v>
      </c>
      <c r="I22">
        <v>1</v>
      </c>
      <c r="J22">
        <v>0.68639214061480147</v>
      </c>
      <c r="M22">
        <v>1</v>
      </c>
      <c r="N22" s="1">
        <v>0.24443149701859701</v>
      </c>
      <c r="R22">
        <v>1</v>
      </c>
      <c r="S22">
        <v>0.4929726642560901</v>
      </c>
      <c r="Z22" s="24">
        <v>0</v>
      </c>
      <c r="AA22" s="19">
        <v>-0.33</v>
      </c>
      <c r="AB22" s="19">
        <v>0.66</v>
      </c>
      <c r="AC22" s="20">
        <v>0.78542135153791048</v>
      </c>
      <c r="AG22" s="24">
        <v>0</v>
      </c>
      <c r="AH22" s="19">
        <v>-0.66</v>
      </c>
      <c r="AI22" s="19">
        <v>0.66</v>
      </c>
      <c r="AJ22" s="20">
        <v>0.89564045340461618</v>
      </c>
    </row>
    <row r="23" spans="1:36" x14ac:dyDescent="0.25">
      <c r="A23">
        <v>1</v>
      </c>
      <c r="B23">
        <v>-0.33</v>
      </c>
      <c r="C23">
        <v>-0.33</v>
      </c>
      <c r="D23">
        <v>0.3156663693178014</v>
      </c>
      <c r="G23">
        <v>1</v>
      </c>
      <c r="H23">
        <v>-0.66</v>
      </c>
      <c r="I23">
        <v>-0.33</v>
      </c>
      <c r="J23">
        <v>0.57666161867193544</v>
      </c>
      <c r="M23">
        <v>1</v>
      </c>
      <c r="N23">
        <v>0.9445934949879673</v>
      </c>
      <c r="R23">
        <v>1</v>
      </c>
      <c r="S23">
        <v>0.78542135153791048</v>
      </c>
      <c r="Z23" s="18">
        <v>1</v>
      </c>
      <c r="AA23" s="19">
        <v>0.33</v>
      </c>
      <c r="AB23" s="19">
        <v>0.33</v>
      </c>
      <c r="AC23" s="20">
        <v>0.86732953924663225</v>
      </c>
      <c r="AG23" s="18">
        <v>1</v>
      </c>
      <c r="AH23" s="19">
        <v>-0.66</v>
      </c>
      <c r="AI23" s="19">
        <v>0.66</v>
      </c>
      <c r="AJ23" s="20">
        <v>0.89564045340461618</v>
      </c>
    </row>
    <row r="24" spans="1:36" x14ac:dyDescent="0.25">
      <c r="A24">
        <v>0</v>
      </c>
      <c r="B24">
        <v>-0.33</v>
      </c>
      <c r="C24">
        <v>-0.33</v>
      </c>
      <c r="D24">
        <v>0.3156663693178014</v>
      </c>
      <c r="G24">
        <v>0</v>
      </c>
      <c r="H24">
        <v>0.33</v>
      </c>
      <c r="I24">
        <v>-0.33</v>
      </c>
      <c r="J24">
        <v>0.15584987955732449</v>
      </c>
      <c r="M24">
        <v>1</v>
      </c>
      <c r="N24">
        <v>0.89241528852825247</v>
      </c>
      <c r="R24">
        <v>1</v>
      </c>
      <c r="S24">
        <v>0.98044091879082274</v>
      </c>
      <c r="Z24" s="18">
        <v>1</v>
      </c>
      <c r="AA24" s="19">
        <v>-0.33</v>
      </c>
      <c r="AB24" s="19">
        <v>1</v>
      </c>
      <c r="AC24" s="20">
        <v>0.88172844425376418</v>
      </c>
      <c r="AG24" s="18">
        <v>1</v>
      </c>
      <c r="AH24" s="19">
        <v>-0.66</v>
      </c>
      <c r="AI24" s="19">
        <v>0.66</v>
      </c>
      <c r="AJ24" s="20">
        <v>0.89564045340461618</v>
      </c>
    </row>
    <row r="25" spans="1:36" x14ac:dyDescent="0.25">
      <c r="A25">
        <v>1</v>
      </c>
      <c r="B25">
        <v>-0.33</v>
      </c>
      <c r="C25">
        <v>1</v>
      </c>
      <c r="D25">
        <v>0.88172844425376418</v>
      </c>
      <c r="G25">
        <v>1</v>
      </c>
      <c r="H25">
        <v>-1</v>
      </c>
      <c r="I25">
        <v>1</v>
      </c>
      <c r="J25">
        <v>0.96976892401611792</v>
      </c>
      <c r="M25">
        <v>1</v>
      </c>
      <c r="N25">
        <v>0.94168583565361397</v>
      </c>
      <c r="R25">
        <v>1</v>
      </c>
      <c r="S25">
        <v>0.98044091879082274</v>
      </c>
      <c r="Z25" s="18">
        <v>1</v>
      </c>
      <c r="AA25" s="19">
        <v>0.66</v>
      </c>
      <c r="AB25" s="19">
        <v>0.33</v>
      </c>
      <c r="AC25" s="20">
        <v>0.9250323003088895</v>
      </c>
      <c r="AG25" s="18">
        <v>1</v>
      </c>
      <c r="AH25" s="19">
        <v>-0.66</v>
      </c>
      <c r="AI25" s="19">
        <v>1</v>
      </c>
      <c r="AJ25" s="20">
        <v>0.94168583565361397</v>
      </c>
    </row>
    <row r="26" spans="1:36" x14ac:dyDescent="0.25">
      <c r="A26">
        <v>0</v>
      </c>
      <c r="B26">
        <v>-0.66</v>
      </c>
      <c r="C26">
        <v>-0.33</v>
      </c>
      <c r="D26">
        <v>0.19639493564067559</v>
      </c>
      <c r="G26">
        <v>0</v>
      </c>
      <c r="H26">
        <v>-0.66</v>
      </c>
      <c r="I26">
        <v>-0.33</v>
      </c>
      <c r="J26">
        <v>0.57666161867193544</v>
      </c>
      <c r="M26">
        <v>1</v>
      </c>
      <c r="N26">
        <v>0.68639214061480147</v>
      </c>
      <c r="R26">
        <v>1</v>
      </c>
      <c r="S26">
        <v>0.96371328290723701</v>
      </c>
      <c r="Z26" s="18">
        <v>1</v>
      </c>
      <c r="AA26" s="19">
        <v>0.33</v>
      </c>
      <c r="AB26" s="19">
        <v>0.66</v>
      </c>
      <c r="AC26" s="20">
        <v>0.92877252677470656</v>
      </c>
      <c r="AG26" s="18">
        <v>1</v>
      </c>
      <c r="AH26" s="19">
        <v>-0.66</v>
      </c>
      <c r="AI26" s="19">
        <v>1</v>
      </c>
      <c r="AJ26" s="20">
        <v>0.94168583565361397</v>
      </c>
    </row>
    <row r="27" spans="1:36" x14ac:dyDescent="0.25">
      <c r="A27">
        <v>1</v>
      </c>
      <c r="B27">
        <v>0.33</v>
      </c>
      <c r="C27">
        <v>0.66</v>
      </c>
      <c r="D27">
        <v>0.92877252677470656</v>
      </c>
      <c r="G27">
        <v>1</v>
      </c>
      <c r="H27">
        <v>-0.66</v>
      </c>
      <c r="I27">
        <v>0.66</v>
      </c>
      <c r="J27">
        <v>0.89564045340461618</v>
      </c>
      <c r="M27">
        <v>1</v>
      </c>
      <c r="N27">
        <v>0.57666161867193544</v>
      </c>
      <c r="R27">
        <v>1</v>
      </c>
      <c r="S27" s="1">
        <v>0.3156663693178014</v>
      </c>
      <c r="Z27" s="18">
        <v>1</v>
      </c>
      <c r="AA27" s="19">
        <v>0.66</v>
      </c>
      <c r="AB27" s="19">
        <v>0.66</v>
      </c>
      <c r="AC27" s="20">
        <v>0.96095474175671936</v>
      </c>
      <c r="AG27" s="18">
        <v>1</v>
      </c>
      <c r="AH27" s="19">
        <v>-1</v>
      </c>
      <c r="AI27" s="19">
        <v>0.66</v>
      </c>
      <c r="AJ27" s="20">
        <v>0.9445934949879673</v>
      </c>
    </row>
    <row r="28" spans="1:36" x14ac:dyDescent="0.25">
      <c r="A28">
        <v>1</v>
      </c>
      <c r="B28">
        <v>0.66</v>
      </c>
      <c r="C28">
        <v>0.66</v>
      </c>
      <c r="D28">
        <v>0.96095474175671936</v>
      </c>
      <c r="G28">
        <v>1</v>
      </c>
      <c r="H28">
        <v>-1</v>
      </c>
      <c r="I28">
        <v>0.66</v>
      </c>
      <c r="J28">
        <v>0.9445934949879673</v>
      </c>
      <c r="M28">
        <v>1</v>
      </c>
      <c r="N28">
        <v>0.96976892401611792</v>
      </c>
      <c r="R28">
        <v>1</v>
      </c>
      <c r="S28">
        <v>0.88172844425376418</v>
      </c>
      <c r="Z28" s="18">
        <v>1</v>
      </c>
      <c r="AA28" s="19">
        <v>0.33</v>
      </c>
      <c r="AB28" s="19">
        <v>1</v>
      </c>
      <c r="AC28" s="20">
        <v>0.96371328290723701</v>
      </c>
      <c r="AG28" s="18">
        <v>1</v>
      </c>
      <c r="AH28" s="19">
        <v>-1</v>
      </c>
      <c r="AI28" s="19">
        <v>0.66</v>
      </c>
      <c r="AJ28" s="20">
        <v>0.9445934949879673</v>
      </c>
    </row>
    <row r="29" spans="1:36" x14ac:dyDescent="0.25">
      <c r="A29">
        <v>1</v>
      </c>
      <c r="B29">
        <v>0.33</v>
      </c>
      <c r="C29">
        <v>0.33</v>
      </c>
      <c r="D29">
        <v>0.86732953924663225</v>
      </c>
      <c r="G29">
        <v>1</v>
      </c>
      <c r="H29">
        <v>-0.66</v>
      </c>
      <c r="I29">
        <v>0.33</v>
      </c>
      <c r="J29">
        <v>0.82290569715483997</v>
      </c>
      <c r="M29">
        <v>1</v>
      </c>
      <c r="N29">
        <v>0.89564045340461618</v>
      </c>
      <c r="R29">
        <v>1</v>
      </c>
      <c r="S29">
        <v>0.92877252677470656</v>
      </c>
      <c r="Z29" s="18">
        <v>1</v>
      </c>
      <c r="AA29" s="19">
        <v>0.66</v>
      </c>
      <c r="AB29" s="19">
        <v>1</v>
      </c>
      <c r="AC29" s="20">
        <v>0.98044091879082274</v>
      </c>
      <c r="AG29" s="18">
        <v>1</v>
      </c>
      <c r="AH29" s="19">
        <v>-1</v>
      </c>
      <c r="AI29" s="19">
        <v>0.66</v>
      </c>
      <c r="AJ29" s="20">
        <v>0.9445934949879673</v>
      </c>
    </row>
    <row r="30" spans="1:36" x14ac:dyDescent="0.25">
      <c r="A30">
        <v>0</v>
      </c>
      <c r="B30">
        <v>-1</v>
      </c>
      <c r="C30">
        <v>-0.66</v>
      </c>
      <c r="D30">
        <v>5.9867635638654063E-2</v>
      </c>
      <c r="G30">
        <v>0</v>
      </c>
      <c r="H30">
        <v>0.33</v>
      </c>
      <c r="I30">
        <v>-0.66</v>
      </c>
      <c r="J30">
        <v>9.0876887564026787E-2</v>
      </c>
      <c r="M30">
        <v>1</v>
      </c>
      <c r="N30">
        <v>0.9445934949879673</v>
      </c>
      <c r="R30">
        <v>1</v>
      </c>
      <c r="S30">
        <v>0.96095474175671936</v>
      </c>
      <c r="Z30" s="18">
        <v>1</v>
      </c>
      <c r="AA30" s="19">
        <v>0.66</v>
      </c>
      <c r="AB30" s="19">
        <v>1</v>
      </c>
      <c r="AC30" s="20">
        <v>0.98044091879082274</v>
      </c>
      <c r="AG30" s="18">
        <v>1</v>
      </c>
      <c r="AH30" s="19">
        <v>-1</v>
      </c>
      <c r="AI30" s="19">
        <v>0.66</v>
      </c>
      <c r="AJ30" s="20">
        <v>0.9445934949879673</v>
      </c>
    </row>
    <row r="31" spans="1:36" x14ac:dyDescent="0.25">
      <c r="A31">
        <v>0</v>
      </c>
      <c r="B31">
        <v>-0.66</v>
      </c>
      <c r="C31">
        <v>-0.33</v>
      </c>
      <c r="D31">
        <v>0.19639493564067559</v>
      </c>
      <c r="G31">
        <v>0</v>
      </c>
      <c r="H31">
        <v>0.66</v>
      </c>
      <c r="I31">
        <v>-0.33</v>
      </c>
      <c r="J31">
        <v>8.6620831333347831E-2</v>
      </c>
      <c r="M31">
        <v>1</v>
      </c>
      <c r="N31">
        <v>0.82290569715483997</v>
      </c>
      <c r="R31">
        <v>1</v>
      </c>
      <c r="S31">
        <v>0.86732953924663225</v>
      </c>
      <c r="Z31" s="18">
        <v>1</v>
      </c>
      <c r="AA31" s="19">
        <v>0.66</v>
      </c>
      <c r="AB31" s="19">
        <v>1</v>
      </c>
      <c r="AC31" s="20">
        <v>0.98044091879082274</v>
      </c>
      <c r="AG31" s="18">
        <v>1</v>
      </c>
      <c r="AH31" s="19">
        <v>-1</v>
      </c>
      <c r="AI31" s="19">
        <v>1</v>
      </c>
      <c r="AJ31" s="20">
        <v>0.96976892401611792</v>
      </c>
    </row>
    <row r="32" spans="1:36" ht="15.75" thickBot="1" x14ac:dyDescent="0.3">
      <c r="Z32" s="21">
        <v>1</v>
      </c>
      <c r="AA32" s="22">
        <v>0.66</v>
      </c>
      <c r="AB32" s="22">
        <v>1</v>
      </c>
      <c r="AC32" s="23">
        <v>0.98044091879082274</v>
      </c>
      <c r="AG32" s="21">
        <v>1</v>
      </c>
      <c r="AH32" s="22">
        <v>-1</v>
      </c>
      <c r="AI32" s="22">
        <v>1</v>
      </c>
      <c r="AJ32" s="23">
        <v>0.96976892401611792</v>
      </c>
    </row>
  </sheetData>
  <sortState xmlns:xlrd2="http://schemas.microsoft.com/office/spreadsheetml/2017/richdata2" ref="AG3:AK34">
    <sortCondition ref="AJ1"/>
  </sortState>
  <conditionalFormatting sqref="AA3:AB32">
    <cfRule type="cellIs" dxfId="20" priority="3" operator="lessThan">
      <formula>0</formula>
    </cfRule>
    <cfRule type="cellIs" dxfId="19" priority="4" operator="greaterThan">
      <formula>0</formula>
    </cfRule>
  </conditionalFormatting>
  <conditionalFormatting sqref="AH3:AI32">
    <cfRule type="cellIs" dxfId="18" priority="1" operator="lessThan">
      <formula>0</formula>
    </cfRule>
    <cfRule type="cellIs" dxfId="17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A185-0F61-4C44-8A33-804026F32E4E}">
  <dimension ref="A1:T31"/>
  <sheetViews>
    <sheetView topLeftCell="G1" workbookViewId="0">
      <selection activeCell="V5" sqref="V5"/>
    </sheetView>
  </sheetViews>
  <sheetFormatPr baseColWidth="10" defaultRowHeight="15" x14ac:dyDescent="0.25"/>
  <cols>
    <col min="1" max="1" width="14.28515625" customWidth="1"/>
    <col min="11" max="11" width="11.42578125" style="1"/>
  </cols>
  <sheetData>
    <row r="1" spans="1:20" x14ac:dyDescent="0.25">
      <c r="A1" s="1" t="s">
        <v>1</v>
      </c>
      <c r="B1" s="12" t="s">
        <v>136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</row>
    <row r="2" spans="1:20" x14ac:dyDescent="0.25">
      <c r="A2" t="s">
        <v>58</v>
      </c>
      <c r="B2">
        <v>1</v>
      </c>
      <c r="C2">
        <f>+dato3!M2</f>
        <v>1</v>
      </c>
      <c r="D2">
        <f>+dato3!O2</f>
        <v>0</v>
      </c>
      <c r="E2">
        <f>+dato3!Q2</f>
        <v>-0.5</v>
      </c>
      <c r="F2">
        <f>+dato3!S2</f>
        <v>1</v>
      </c>
      <c r="G2">
        <f>+dato3!U2</f>
        <v>0.5</v>
      </c>
      <c r="H2">
        <f>+dato3!W2</f>
        <v>1</v>
      </c>
      <c r="I2">
        <f>+dato3!Y2</f>
        <v>1</v>
      </c>
      <c r="J2">
        <f>+dato3!AA2</f>
        <v>-0.5</v>
      </c>
      <c r="L2">
        <f>+dato3!AE2</f>
        <v>0</v>
      </c>
      <c r="M2">
        <f>+dato3!AG2</f>
        <v>-1</v>
      </c>
      <c r="N2">
        <f>+dato3!AI2</f>
        <v>0</v>
      </c>
      <c r="O2">
        <f>+dato3!AK2</f>
        <v>0</v>
      </c>
      <c r="P2">
        <f>+dato3!AM2</f>
        <v>0.5</v>
      </c>
      <c r="Q2">
        <f>+dato3!AO2</f>
        <v>1</v>
      </c>
      <c r="R2">
        <f>+dato3!AQ2</f>
        <v>0.5</v>
      </c>
      <c r="S2">
        <f>+dato3!AS2</f>
        <v>1</v>
      </c>
      <c r="T2">
        <f>+dato3!AU2</f>
        <v>1</v>
      </c>
    </row>
    <row r="3" spans="1:20" x14ac:dyDescent="0.25">
      <c r="A3" t="s">
        <v>74</v>
      </c>
      <c r="B3">
        <v>0</v>
      </c>
      <c r="C3">
        <f>+dato3!M3</f>
        <v>0</v>
      </c>
      <c r="D3">
        <f>+dato3!O3</f>
        <v>-0.5</v>
      </c>
      <c r="E3">
        <f>+dato3!Q3</f>
        <v>-1</v>
      </c>
      <c r="F3">
        <f>+dato3!S3</f>
        <v>0</v>
      </c>
      <c r="G3">
        <f>+dato3!U3</f>
        <v>0</v>
      </c>
      <c r="H3">
        <f>+dato3!W3</f>
        <v>0</v>
      </c>
      <c r="I3">
        <f>+dato3!Y3</f>
        <v>0</v>
      </c>
      <c r="J3">
        <f>+dato3!AA3</f>
        <v>-0.5</v>
      </c>
      <c r="L3">
        <f>+dato3!AE3</f>
        <v>0</v>
      </c>
      <c r="M3">
        <f>+dato3!AG3</f>
        <v>0</v>
      </c>
      <c r="N3">
        <f>+dato3!AI3</f>
        <v>-1</v>
      </c>
      <c r="O3">
        <f>+dato3!AK3</f>
        <v>-1</v>
      </c>
      <c r="P3">
        <f>+dato3!AM3</f>
        <v>-0.5</v>
      </c>
      <c r="Q3">
        <f>+dato3!AO3</f>
        <v>-0.5</v>
      </c>
      <c r="R3">
        <f>+dato3!AQ3</f>
        <v>-0.5</v>
      </c>
      <c r="S3">
        <f>+dato3!AS3</f>
        <v>-1</v>
      </c>
      <c r="T3">
        <f>+dato3!AU3</f>
        <v>1</v>
      </c>
    </row>
    <row r="4" spans="1:20" x14ac:dyDescent="0.25">
      <c r="A4" t="s">
        <v>80</v>
      </c>
      <c r="B4">
        <v>1</v>
      </c>
      <c r="C4">
        <f>+dato3!M4</f>
        <v>0</v>
      </c>
      <c r="D4">
        <f>+dato3!O4</f>
        <v>-0.5</v>
      </c>
      <c r="E4">
        <f>+dato3!Q4</f>
        <v>-0.5</v>
      </c>
      <c r="F4">
        <f>+dato3!S4</f>
        <v>1</v>
      </c>
      <c r="G4">
        <f>+dato3!U4</f>
        <v>0</v>
      </c>
      <c r="H4">
        <f>+dato3!W4</f>
        <v>1</v>
      </c>
      <c r="I4">
        <f>+dato3!Y4</f>
        <v>0.5</v>
      </c>
      <c r="J4">
        <f>+dato3!AA4</f>
        <v>-0.5</v>
      </c>
      <c r="L4">
        <f>+dato3!AE4</f>
        <v>1</v>
      </c>
      <c r="M4">
        <f>+dato3!AG4</f>
        <v>-1</v>
      </c>
      <c r="N4">
        <f>+dato3!AI4</f>
        <v>0</v>
      </c>
      <c r="O4">
        <f>+dato3!AK4</f>
        <v>-1</v>
      </c>
      <c r="P4">
        <f>+dato3!AM4</f>
        <v>0</v>
      </c>
      <c r="Q4">
        <f>+dato3!AO4</f>
        <v>1</v>
      </c>
      <c r="R4">
        <f>+dato3!AQ4</f>
        <v>1</v>
      </c>
      <c r="S4">
        <f>+dato3!AS4</f>
        <v>0</v>
      </c>
      <c r="T4">
        <f>+dato3!AU4</f>
        <v>0.5</v>
      </c>
    </row>
    <row r="5" spans="1:20" x14ac:dyDescent="0.25">
      <c r="A5" t="s">
        <v>84</v>
      </c>
      <c r="B5">
        <v>1</v>
      </c>
      <c r="C5">
        <f>+dato3!M5</f>
        <v>-0.5</v>
      </c>
      <c r="D5">
        <f>+dato3!O5</f>
        <v>0</v>
      </c>
      <c r="E5">
        <f>+dato3!Q5</f>
        <v>0</v>
      </c>
      <c r="F5">
        <f>+dato3!S5</f>
        <v>0</v>
      </c>
      <c r="G5">
        <f>+dato3!U5</f>
        <v>-0.5</v>
      </c>
      <c r="H5">
        <f>+dato3!W5</f>
        <v>0.5</v>
      </c>
      <c r="I5">
        <f>+dato3!Y5</f>
        <v>0.5</v>
      </c>
      <c r="J5">
        <f>+dato3!AA5</f>
        <v>0</v>
      </c>
      <c r="L5">
        <f>+dato3!AE5</f>
        <v>0</v>
      </c>
      <c r="M5">
        <f>+dato3!AG5</f>
        <v>-1</v>
      </c>
      <c r="N5">
        <f>+dato3!AI5</f>
        <v>0.5</v>
      </c>
      <c r="O5">
        <f>+dato3!AK5</f>
        <v>-1</v>
      </c>
      <c r="P5">
        <f>+dato3!AM5</f>
        <v>-0.5</v>
      </c>
      <c r="Q5">
        <f>+dato3!AO5</f>
        <v>0</v>
      </c>
      <c r="R5">
        <f>+dato3!AQ5</f>
        <v>0</v>
      </c>
      <c r="S5">
        <f>+dato3!AS5</f>
        <v>0.5</v>
      </c>
      <c r="T5">
        <f>+dato3!AU5</f>
        <v>0</v>
      </c>
    </row>
    <row r="6" spans="1:20" x14ac:dyDescent="0.25">
      <c r="A6" t="s">
        <v>86</v>
      </c>
      <c r="B6">
        <v>0</v>
      </c>
      <c r="C6">
        <f>+dato3!M6</f>
        <v>0</v>
      </c>
      <c r="D6">
        <f>+dato3!O6</f>
        <v>0</v>
      </c>
      <c r="E6">
        <f>+dato3!Q6</f>
        <v>-0.5</v>
      </c>
      <c r="F6">
        <f>+dato3!S6</f>
        <v>0.5</v>
      </c>
      <c r="G6">
        <f>+dato3!U6</f>
        <v>0</v>
      </c>
      <c r="H6">
        <f>+dato3!W6</f>
        <v>0</v>
      </c>
      <c r="I6">
        <f>+dato3!Y6</f>
        <v>0</v>
      </c>
      <c r="J6">
        <f>+dato3!AA6</f>
        <v>-0.5</v>
      </c>
      <c r="L6">
        <f>+dato3!AE6</f>
        <v>-0.5</v>
      </c>
      <c r="M6">
        <f>+dato3!AG6</f>
        <v>0</v>
      </c>
      <c r="N6">
        <f>+dato3!AI6</f>
        <v>0</v>
      </c>
      <c r="O6">
        <f>+dato3!AK6</f>
        <v>-1</v>
      </c>
      <c r="P6">
        <f>+dato3!AM6</f>
        <v>-0.5</v>
      </c>
      <c r="Q6">
        <f>+dato3!AO6</f>
        <v>0</v>
      </c>
      <c r="R6">
        <f>+dato3!AQ6</f>
        <v>0.5</v>
      </c>
      <c r="S6">
        <f>+dato3!AS6</f>
        <v>0.5</v>
      </c>
      <c r="T6">
        <f>+dato3!AU6</f>
        <v>0</v>
      </c>
    </row>
    <row r="7" spans="1:20" x14ac:dyDescent="0.25">
      <c r="A7" t="s">
        <v>88</v>
      </c>
      <c r="B7">
        <v>1</v>
      </c>
      <c r="C7">
        <f>+dato3!M7</f>
        <v>1</v>
      </c>
      <c r="D7">
        <f>+dato3!O7</f>
        <v>0.5</v>
      </c>
      <c r="E7">
        <f>+dato3!Q7</f>
        <v>-1</v>
      </c>
      <c r="F7">
        <f>+dato3!S7</f>
        <v>1</v>
      </c>
      <c r="G7">
        <f>+dato3!U7</f>
        <v>1</v>
      </c>
      <c r="H7">
        <f>+dato3!W7</f>
        <v>1</v>
      </c>
      <c r="I7">
        <f>+dato3!Y7</f>
        <v>-0.5</v>
      </c>
      <c r="J7">
        <f>+dato3!AA7</f>
        <v>-0.5</v>
      </c>
      <c r="L7">
        <f>+dato3!AE7</f>
        <v>-1</v>
      </c>
      <c r="M7">
        <f>+dato3!AG7</f>
        <v>-1</v>
      </c>
      <c r="N7">
        <f>+dato3!AI7</f>
        <v>-0.5</v>
      </c>
      <c r="O7">
        <f>+dato3!AK7</f>
        <v>-1</v>
      </c>
      <c r="P7">
        <f>+dato3!AM7</f>
        <v>0</v>
      </c>
      <c r="Q7">
        <f>+dato3!AO7</f>
        <v>1</v>
      </c>
      <c r="R7">
        <f>+dato3!AQ7</f>
        <v>-1</v>
      </c>
      <c r="S7">
        <f>+dato3!AS7</f>
        <v>1</v>
      </c>
      <c r="T7">
        <f>+dato3!AU7</f>
        <v>1</v>
      </c>
    </row>
    <row r="8" spans="1:20" x14ac:dyDescent="0.25">
      <c r="A8" t="s">
        <v>91</v>
      </c>
      <c r="B8">
        <v>1</v>
      </c>
      <c r="C8">
        <f>+dato3!M8</f>
        <v>0</v>
      </c>
      <c r="D8">
        <f>+dato3!O8</f>
        <v>0</v>
      </c>
      <c r="E8">
        <f>+dato3!Q8</f>
        <v>-0.5</v>
      </c>
      <c r="F8">
        <f>+dato3!S8</f>
        <v>0</v>
      </c>
      <c r="G8">
        <f>+dato3!U8</f>
        <v>0</v>
      </c>
      <c r="H8">
        <f>+dato3!W8</f>
        <v>1</v>
      </c>
      <c r="I8">
        <f>+dato3!Y8</f>
        <v>0</v>
      </c>
      <c r="J8">
        <f>+dato3!AA8</f>
        <v>-0.5</v>
      </c>
      <c r="L8">
        <f>+dato3!AE8</f>
        <v>-0.5</v>
      </c>
      <c r="M8">
        <f>+dato3!AG8</f>
        <v>-0.5</v>
      </c>
      <c r="N8">
        <f>+dato3!AI8</f>
        <v>0</v>
      </c>
      <c r="O8">
        <f>+dato3!AK8</f>
        <v>-1</v>
      </c>
      <c r="P8">
        <f>+dato3!AM8</f>
        <v>-1</v>
      </c>
      <c r="Q8">
        <f>+dato3!AO8</f>
        <v>0.5</v>
      </c>
      <c r="R8">
        <f>+dato3!AQ8</f>
        <v>-0.5</v>
      </c>
      <c r="S8">
        <f>+dato3!AS8</f>
        <v>-0.5</v>
      </c>
      <c r="T8">
        <f>+dato3!AU8</f>
        <v>1</v>
      </c>
    </row>
    <row r="9" spans="1:20" x14ac:dyDescent="0.25">
      <c r="A9" t="s">
        <v>94</v>
      </c>
      <c r="B9">
        <v>0</v>
      </c>
      <c r="C9">
        <f>+dato3!M9</f>
        <v>-0.5</v>
      </c>
      <c r="D9">
        <f>+dato3!O9</f>
        <v>0</v>
      </c>
      <c r="E9">
        <f>+dato3!Q9</f>
        <v>-0.5</v>
      </c>
      <c r="F9">
        <f>+dato3!S9</f>
        <v>0.5</v>
      </c>
      <c r="G9">
        <f>+dato3!U9</f>
        <v>0.5</v>
      </c>
      <c r="H9">
        <f>+dato3!W9</f>
        <v>0.5</v>
      </c>
      <c r="I9">
        <f>+dato3!Y9</f>
        <v>0</v>
      </c>
      <c r="J9">
        <f>+dato3!AA9</f>
        <v>-0.5</v>
      </c>
      <c r="L9">
        <f>+dato3!AE9</f>
        <v>-0.5</v>
      </c>
      <c r="M9">
        <f>+dato3!AG9</f>
        <v>-0.5</v>
      </c>
      <c r="N9">
        <f>+dato3!AI9</f>
        <v>0</v>
      </c>
      <c r="O9">
        <f>+dato3!AK9</f>
        <v>0</v>
      </c>
      <c r="P9">
        <f>+dato3!AM9</f>
        <v>-1</v>
      </c>
      <c r="Q9">
        <f>+dato3!AO9</f>
        <v>0</v>
      </c>
      <c r="R9">
        <f>+dato3!AQ9</f>
        <v>-0.5</v>
      </c>
      <c r="S9">
        <f>+dato3!AS9</f>
        <v>1</v>
      </c>
      <c r="T9">
        <f>+dato3!AU9</f>
        <v>0.5</v>
      </c>
    </row>
    <row r="10" spans="1:20" x14ac:dyDescent="0.25">
      <c r="A10" t="s">
        <v>99</v>
      </c>
      <c r="B10">
        <v>1</v>
      </c>
      <c r="C10">
        <f>+dato3!M10</f>
        <v>-0.5</v>
      </c>
      <c r="D10">
        <f>+dato3!O10</f>
        <v>-0.5</v>
      </c>
      <c r="E10">
        <f>+dato3!Q10</f>
        <v>-1</v>
      </c>
      <c r="F10">
        <f>+dato3!S10</f>
        <v>0</v>
      </c>
      <c r="G10">
        <f>+dato3!U10</f>
        <v>0</v>
      </c>
      <c r="H10">
        <f>+dato3!W10</f>
        <v>0</v>
      </c>
      <c r="I10">
        <f>+dato3!Y10</f>
        <v>-0.5</v>
      </c>
      <c r="J10">
        <f>+dato3!AA10</f>
        <v>-1</v>
      </c>
      <c r="L10">
        <f>+dato3!AE10</f>
        <v>-1</v>
      </c>
      <c r="M10">
        <f>+dato3!AG10</f>
        <v>-0.5</v>
      </c>
      <c r="N10">
        <f>+dato3!AI10</f>
        <v>0</v>
      </c>
      <c r="O10">
        <f>+dato3!AK10</f>
        <v>-1</v>
      </c>
      <c r="P10">
        <f>+dato3!AM10</f>
        <v>-1</v>
      </c>
      <c r="Q10">
        <f>+dato3!AO10</f>
        <v>-0.5</v>
      </c>
      <c r="R10">
        <f>+dato3!AQ10</f>
        <v>0.5</v>
      </c>
      <c r="S10">
        <f>+dato3!AS10</f>
        <v>0</v>
      </c>
      <c r="T10">
        <f>+dato3!AU10</f>
        <v>1</v>
      </c>
    </row>
    <row r="11" spans="1:20" x14ac:dyDescent="0.25">
      <c r="A11" t="s">
        <v>100</v>
      </c>
      <c r="B11">
        <v>0</v>
      </c>
      <c r="C11">
        <f>+dato3!M11</f>
        <v>1</v>
      </c>
      <c r="D11">
        <f>+dato3!O11</f>
        <v>-1</v>
      </c>
      <c r="E11">
        <f>+dato3!Q11</f>
        <v>-1</v>
      </c>
      <c r="F11">
        <f>+dato3!S11</f>
        <v>-1</v>
      </c>
      <c r="G11">
        <f>+dato3!U11</f>
        <v>-1</v>
      </c>
      <c r="H11">
        <f>+dato3!W11</f>
        <v>-0.5</v>
      </c>
      <c r="I11">
        <f>+dato3!Y11</f>
        <v>0</v>
      </c>
      <c r="J11">
        <f>+dato3!AA11</f>
        <v>-1</v>
      </c>
      <c r="L11">
        <f>+dato3!AE11</f>
        <v>-0.5</v>
      </c>
      <c r="M11">
        <f>+dato3!AG11</f>
        <v>1</v>
      </c>
      <c r="N11">
        <f>+dato3!AI11</f>
        <v>-1</v>
      </c>
      <c r="O11">
        <f>+dato3!AK11</f>
        <v>-1</v>
      </c>
      <c r="P11">
        <f>+dato3!AM11</f>
        <v>-1</v>
      </c>
      <c r="Q11">
        <f>+dato3!AO11</f>
        <v>-1</v>
      </c>
      <c r="R11">
        <f>+dato3!AQ11</f>
        <v>-1</v>
      </c>
      <c r="S11">
        <f>+dato3!AS11</f>
        <v>-1</v>
      </c>
      <c r="T11">
        <f>+dato3!AU11</f>
        <v>1</v>
      </c>
    </row>
    <row r="12" spans="1:20" x14ac:dyDescent="0.25">
      <c r="A12" t="s">
        <v>102</v>
      </c>
      <c r="B12">
        <v>1</v>
      </c>
      <c r="C12">
        <f>+dato3!M12</f>
        <v>0</v>
      </c>
      <c r="D12">
        <f>+dato3!O12</f>
        <v>0</v>
      </c>
      <c r="E12">
        <f>+dato3!Q12</f>
        <v>-0.5</v>
      </c>
      <c r="F12">
        <f>+dato3!S12</f>
        <v>0</v>
      </c>
      <c r="G12">
        <f>+dato3!U12</f>
        <v>0</v>
      </c>
      <c r="H12">
        <f>+dato3!W12</f>
        <v>0.5</v>
      </c>
      <c r="I12">
        <f>+dato3!Y12</f>
        <v>0</v>
      </c>
      <c r="J12">
        <f>+dato3!AA12</f>
        <v>0</v>
      </c>
      <c r="L12">
        <f>+dato3!AE12</f>
        <v>0</v>
      </c>
      <c r="M12">
        <f>+dato3!AG12</f>
        <v>-0.5</v>
      </c>
      <c r="N12">
        <f>+dato3!AI12</f>
        <v>-1</v>
      </c>
      <c r="O12">
        <f>+dato3!AK12</f>
        <v>-1</v>
      </c>
      <c r="P12">
        <f>+dato3!AM12</f>
        <v>0</v>
      </c>
      <c r="Q12">
        <f>+dato3!AO12</f>
        <v>0</v>
      </c>
      <c r="R12">
        <f>+dato3!AQ12</f>
        <v>0</v>
      </c>
      <c r="S12">
        <f>+dato3!AS12</f>
        <v>0.5</v>
      </c>
      <c r="T12">
        <f>+dato3!AU12</f>
        <v>0.5</v>
      </c>
    </row>
    <row r="13" spans="1:20" x14ac:dyDescent="0.25">
      <c r="A13" t="s">
        <v>104</v>
      </c>
      <c r="B13">
        <v>1</v>
      </c>
      <c r="C13">
        <f>+dato3!M13</f>
        <v>0.5</v>
      </c>
      <c r="D13">
        <f>+dato3!O13</f>
        <v>0</v>
      </c>
      <c r="E13">
        <f>+dato3!Q13</f>
        <v>-0.5</v>
      </c>
      <c r="F13">
        <f>+dato3!S13</f>
        <v>0</v>
      </c>
      <c r="G13">
        <f>+dato3!U13</f>
        <v>0</v>
      </c>
      <c r="H13">
        <f>+dato3!W13</f>
        <v>0</v>
      </c>
      <c r="I13">
        <f>+dato3!Y13</f>
        <v>0.5</v>
      </c>
      <c r="J13">
        <f>+dato3!AA13</f>
        <v>0</v>
      </c>
      <c r="L13">
        <f>+dato3!AE13</f>
        <v>0</v>
      </c>
      <c r="M13">
        <f>+dato3!AG13</f>
        <v>-0.5</v>
      </c>
      <c r="N13">
        <f>+dato3!AI13</f>
        <v>0.5</v>
      </c>
      <c r="O13">
        <f>+dato3!AK13</f>
        <v>-0.5</v>
      </c>
      <c r="P13">
        <f>+dato3!AM13</f>
        <v>0</v>
      </c>
      <c r="Q13">
        <f>+dato3!AO13</f>
        <v>1</v>
      </c>
      <c r="R13">
        <f>+dato3!AQ13</f>
        <v>0</v>
      </c>
      <c r="S13">
        <f>+dato3!AS13</f>
        <v>0</v>
      </c>
      <c r="T13">
        <f>+dato3!AU13</f>
        <v>1</v>
      </c>
    </row>
    <row r="14" spans="1:20" x14ac:dyDescent="0.25">
      <c r="A14" t="s">
        <v>105</v>
      </c>
      <c r="B14">
        <v>1</v>
      </c>
      <c r="C14">
        <f>+dato3!M14</f>
        <v>0</v>
      </c>
      <c r="D14">
        <f>+dato3!O14</f>
        <v>1</v>
      </c>
      <c r="E14">
        <f>+dato3!Q14</f>
        <v>-0.5</v>
      </c>
      <c r="F14">
        <f>+dato3!S14</f>
        <v>1</v>
      </c>
      <c r="G14">
        <f>+dato3!U14</f>
        <v>0.5</v>
      </c>
      <c r="H14">
        <f>+dato3!W14</f>
        <v>-0.5</v>
      </c>
      <c r="I14">
        <f>+dato3!Y14</f>
        <v>1</v>
      </c>
      <c r="J14">
        <f>+dato3!AA14</f>
        <v>0.5</v>
      </c>
      <c r="L14">
        <f>+dato3!AE14</f>
        <v>0</v>
      </c>
      <c r="M14">
        <f>+dato3!AG14</f>
        <v>-0.5</v>
      </c>
      <c r="N14">
        <f>+dato3!AI14</f>
        <v>0.5</v>
      </c>
      <c r="O14">
        <f>+dato3!AK14</f>
        <v>0.5</v>
      </c>
      <c r="P14">
        <f>+dato3!AM14</f>
        <v>0</v>
      </c>
      <c r="Q14">
        <f>+dato3!AO14</f>
        <v>1</v>
      </c>
      <c r="R14">
        <f>+dato3!AQ14</f>
        <v>-0.5</v>
      </c>
      <c r="S14">
        <f>+dato3!AS14</f>
        <v>1</v>
      </c>
      <c r="T14">
        <f>+dato3!AU14</f>
        <v>-0.5</v>
      </c>
    </row>
    <row r="15" spans="1:20" x14ac:dyDescent="0.25">
      <c r="A15" t="s">
        <v>106</v>
      </c>
      <c r="B15">
        <v>0</v>
      </c>
      <c r="C15">
        <f>+dato3!M15</f>
        <v>0</v>
      </c>
      <c r="D15">
        <f>+dato3!O15</f>
        <v>0</v>
      </c>
      <c r="E15">
        <f>+dato3!Q15</f>
        <v>0</v>
      </c>
      <c r="F15">
        <f>+dato3!S15</f>
        <v>0</v>
      </c>
      <c r="G15">
        <f>+dato3!U15</f>
        <v>0</v>
      </c>
      <c r="H15">
        <f>+dato3!W15</f>
        <v>0.5</v>
      </c>
      <c r="I15">
        <f>+dato3!Y15</f>
        <v>0</v>
      </c>
      <c r="J15">
        <f>+dato3!AA15</f>
        <v>0</v>
      </c>
      <c r="L15">
        <f>+dato3!AE15</f>
        <v>0</v>
      </c>
      <c r="M15">
        <f>+dato3!AG15</f>
        <v>-0.5</v>
      </c>
      <c r="N15">
        <f>+dato3!AI15</f>
        <v>0</v>
      </c>
      <c r="O15">
        <f>+dato3!AK15</f>
        <v>0</v>
      </c>
      <c r="P15">
        <f>+dato3!AM15</f>
        <v>-0.5</v>
      </c>
      <c r="Q15">
        <f>+dato3!AO15</f>
        <v>1</v>
      </c>
      <c r="R15">
        <f>+dato3!AQ15</f>
        <v>0</v>
      </c>
      <c r="S15">
        <f>+dato3!AS15</f>
        <v>0.5</v>
      </c>
      <c r="T15">
        <f>+dato3!AU15</f>
        <v>1</v>
      </c>
    </row>
    <row r="16" spans="1:20" x14ac:dyDescent="0.25">
      <c r="A16" t="s">
        <v>108</v>
      </c>
      <c r="B16">
        <v>1</v>
      </c>
      <c r="C16">
        <f>+dato3!M16</f>
        <v>0.5</v>
      </c>
      <c r="D16">
        <f>+dato3!O16</f>
        <v>0</v>
      </c>
      <c r="E16">
        <f>+dato3!Q16</f>
        <v>-0.5</v>
      </c>
      <c r="F16">
        <f>+dato3!S16</f>
        <v>1</v>
      </c>
      <c r="G16">
        <f>+dato3!U16</f>
        <v>0.5</v>
      </c>
      <c r="H16">
        <f>+dato3!W16</f>
        <v>0.5</v>
      </c>
      <c r="I16">
        <f>+dato3!Y16</f>
        <v>0</v>
      </c>
      <c r="J16">
        <f>+dato3!AA16</f>
        <v>0</v>
      </c>
      <c r="L16">
        <f>+dato3!AE16</f>
        <v>-1</v>
      </c>
      <c r="M16">
        <f>+dato3!AG16</f>
        <v>-0.5</v>
      </c>
      <c r="N16">
        <f>+dato3!AI16</f>
        <v>0</v>
      </c>
      <c r="O16">
        <f>+dato3!AK16</f>
        <v>0</v>
      </c>
      <c r="P16">
        <f>+dato3!AM16</f>
        <v>-0.5</v>
      </c>
      <c r="Q16">
        <f>+dato3!AO16</f>
        <v>1</v>
      </c>
      <c r="R16">
        <f>+dato3!AQ16</f>
        <v>0.5</v>
      </c>
      <c r="S16">
        <f>+dato3!AS16</f>
        <v>0.5</v>
      </c>
      <c r="T16">
        <f>+dato3!AU16</f>
        <v>0</v>
      </c>
    </row>
    <row r="17" spans="1:20" x14ac:dyDescent="0.25">
      <c r="A17" t="s">
        <v>109</v>
      </c>
      <c r="B17">
        <v>1</v>
      </c>
      <c r="C17">
        <f>+dato3!M17</f>
        <v>0</v>
      </c>
      <c r="D17">
        <f>+dato3!O17</f>
        <v>0</v>
      </c>
      <c r="E17">
        <f>+dato3!Q17</f>
        <v>-1</v>
      </c>
      <c r="F17">
        <f>+dato3!S17</f>
        <v>0.5</v>
      </c>
      <c r="G17">
        <f>+dato3!U17</f>
        <v>-0.5</v>
      </c>
      <c r="H17">
        <f>+dato3!W17</f>
        <v>0</v>
      </c>
      <c r="I17">
        <f>+dato3!Y17</f>
        <v>0</v>
      </c>
      <c r="J17">
        <f>+dato3!AA17</f>
        <v>0</v>
      </c>
      <c r="L17">
        <f>+dato3!AE17</f>
        <v>-0.5</v>
      </c>
      <c r="M17">
        <f>+dato3!AG17</f>
        <v>0.5</v>
      </c>
      <c r="N17">
        <f>+dato3!AI17</f>
        <v>0</v>
      </c>
      <c r="O17">
        <f>+dato3!AK17</f>
        <v>0</v>
      </c>
      <c r="P17">
        <f>+dato3!AM17</f>
        <v>0</v>
      </c>
      <c r="Q17">
        <f>+dato3!AO17</f>
        <v>0</v>
      </c>
      <c r="R17">
        <f>+dato3!AQ17</f>
        <v>0</v>
      </c>
      <c r="S17">
        <f>+dato3!AS17</f>
        <v>0</v>
      </c>
      <c r="T17">
        <f>+dato3!AU17</f>
        <v>1</v>
      </c>
    </row>
    <row r="18" spans="1:20" x14ac:dyDescent="0.25">
      <c r="A18" t="s">
        <v>110</v>
      </c>
      <c r="B18">
        <v>1</v>
      </c>
      <c r="C18">
        <f>+dato3!M18</f>
        <v>1</v>
      </c>
      <c r="D18">
        <f>+dato3!O18</f>
        <v>0</v>
      </c>
      <c r="E18">
        <f>+dato3!Q18</f>
        <v>-0.5</v>
      </c>
      <c r="F18">
        <f>+dato3!S18</f>
        <v>0.5</v>
      </c>
      <c r="G18">
        <f>+dato3!U18</f>
        <v>0</v>
      </c>
      <c r="H18">
        <f>+dato3!W18</f>
        <v>1</v>
      </c>
      <c r="I18">
        <f>+dato3!Y18</f>
        <v>0.5</v>
      </c>
      <c r="J18">
        <f>+dato3!AA18</f>
        <v>-1</v>
      </c>
      <c r="L18">
        <f>+dato3!AE18</f>
        <v>-0.5</v>
      </c>
      <c r="M18">
        <f>+dato3!AG18</f>
        <v>-1</v>
      </c>
      <c r="N18">
        <f>+dato3!AI18</f>
        <v>-0.5</v>
      </c>
      <c r="O18">
        <f>+dato3!AK18</f>
        <v>-1</v>
      </c>
      <c r="P18">
        <f>+dato3!AM18</f>
        <v>0.5</v>
      </c>
      <c r="Q18">
        <f>+dato3!AO18</f>
        <v>0.5</v>
      </c>
      <c r="R18">
        <f>+dato3!AQ18</f>
        <v>0</v>
      </c>
      <c r="S18">
        <f>+dato3!AS18</f>
        <v>1</v>
      </c>
      <c r="T18">
        <f>+dato3!AU18</f>
        <v>0.5</v>
      </c>
    </row>
    <row r="19" spans="1:20" x14ac:dyDescent="0.25">
      <c r="A19" t="s">
        <v>111</v>
      </c>
      <c r="B19">
        <v>1</v>
      </c>
      <c r="C19">
        <f>+dato3!M19</f>
        <v>0.5</v>
      </c>
      <c r="D19">
        <f>+dato3!O19</f>
        <v>0.5</v>
      </c>
      <c r="E19">
        <f>+dato3!Q19</f>
        <v>-0.5</v>
      </c>
      <c r="F19">
        <f>+dato3!S19</f>
        <v>0.5</v>
      </c>
      <c r="G19">
        <f>+dato3!U19</f>
        <v>0.5</v>
      </c>
      <c r="H19">
        <f>+dato3!W19</f>
        <v>0</v>
      </c>
      <c r="I19">
        <f>+dato3!Y19</f>
        <v>1</v>
      </c>
      <c r="J19">
        <f>+dato3!AA19</f>
        <v>-0.5</v>
      </c>
      <c r="L19">
        <f>+dato3!AE19</f>
        <v>0</v>
      </c>
      <c r="M19">
        <f>+dato3!AG19</f>
        <v>0</v>
      </c>
      <c r="N19">
        <f>+dato3!AI19</f>
        <v>-1</v>
      </c>
      <c r="O19">
        <f>+dato3!AK19</f>
        <v>-1</v>
      </c>
      <c r="P19">
        <f>+dato3!AM19</f>
        <v>-1</v>
      </c>
      <c r="Q19">
        <f>+dato3!AO19</f>
        <v>0.5</v>
      </c>
      <c r="R19">
        <f>+dato3!AQ19</f>
        <v>0</v>
      </c>
      <c r="S19">
        <f>+dato3!AS19</f>
        <v>-0.5</v>
      </c>
      <c r="T19">
        <f>+dato3!AU19</f>
        <v>0.5</v>
      </c>
    </row>
    <row r="20" spans="1:20" x14ac:dyDescent="0.25">
      <c r="A20" t="s">
        <v>114</v>
      </c>
      <c r="B20">
        <v>1</v>
      </c>
      <c r="C20">
        <f>+dato3!M20</f>
        <v>0</v>
      </c>
      <c r="D20">
        <f>+dato3!O20</f>
        <v>0</v>
      </c>
      <c r="E20">
        <f>+dato3!Q20</f>
        <v>0</v>
      </c>
      <c r="F20">
        <f>+dato3!S20</f>
        <v>0.5</v>
      </c>
      <c r="G20">
        <f>+dato3!U20</f>
        <v>0.5</v>
      </c>
      <c r="H20">
        <f>+dato3!W20</f>
        <v>0.5</v>
      </c>
      <c r="I20">
        <f>+dato3!Y20</f>
        <v>1</v>
      </c>
      <c r="J20">
        <f>+dato3!AA20</f>
        <v>-0.5</v>
      </c>
      <c r="L20">
        <f>+dato3!AE20</f>
        <v>0</v>
      </c>
      <c r="M20">
        <f>+dato3!AG20</f>
        <v>-0.5</v>
      </c>
      <c r="N20">
        <f>+dato3!AI20</f>
        <v>-1</v>
      </c>
      <c r="O20">
        <f>+dato3!AK20</f>
        <v>-1</v>
      </c>
      <c r="P20">
        <f>+dato3!AM20</f>
        <v>-0.5</v>
      </c>
      <c r="Q20">
        <f>+dato3!AO20</f>
        <v>0</v>
      </c>
      <c r="R20">
        <f>+dato3!AQ20</f>
        <v>0</v>
      </c>
      <c r="S20">
        <f>+dato3!AS20</f>
        <v>0.5</v>
      </c>
      <c r="T20">
        <f>+dato3!AU20</f>
        <v>0.5</v>
      </c>
    </row>
    <row r="21" spans="1:20" x14ac:dyDescent="0.25">
      <c r="A21" t="s">
        <v>116</v>
      </c>
      <c r="B21">
        <v>0</v>
      </c>
      <c r="C21">
        <f>+dato3!M21</f>
        <v>0.5</v>
      </c>
      <c r="D21">
        <f>+dato3!O21</f>
        <v>0</v>
      </c>
      <c r="E21">
        <f>+dato3!Q21</f>
        <v>0</v>
      </c>
      <c r="F21">
        <f>+dato3!S21</f>
        <v>0.5</v>
      </c>
      <c r="G21">
        <f>+dato3!U21</f>
        <v>0</v>
      </c>
      <c r="H21">
        <f>+dato3!W21</f>
        <v>1</v>
      </c>
      <c r="I21">
        <f>+dato3!Y21</f>
        <v>0.5</v>
      </c>
      <c r="J21">
        <f>+dato3!AA21</f>
        <v>0</v>
      </c>
      <c r="L21">
        <f>+dato3!AE21</f>
        <v>-1</v>
      </c>
      <c r="M21">
        <f>+dato3!AG21</f>
        <v>-0.5</v>
      </c>
      <c r="N21">
        <f>+dato3!AI21</f>
        <v>0</v>
      </c>
      <c r="O21">
        <f>+dato3!AK21</f>
        <v>-0.5</v>
      </c>
      <c r="P21">
        <f>+dato3!AM21</f>
        <v>0</v>
      </c>
      <c r="Q21">
        <f>+dato3!AO21</f>
        <v>0.5</v>
      </c>
      <c r="R21">
        <f>+dato3!AQ21</f>
        <v>0</v>
      </c>
      <c r="S21">
        <f>+dato3!AS21</f>
        <v>1</v>
      </c>
      <c r="T21">
        <f>+dato3!AU21</f>
        <v>1</v>
      </c>
    </row>
    <row r="22" spans="1:20" x14ac:dyDescent="0.25">
      <c r="A22" t="s">
        <v>117</v>
      </c>
      <c r="B22">
        <v>1</v>
      </c>
      <c r="C22">
        <f>+dato3!M22</f>
        <v>1</v>
      </c>
      <c r="D22">
        <f>+dato3!O22</f>
        <v>0</v>
      </c>
      <c r="E22">
        <f>+dato3!Q22</f>
        <v>-0.5</v>
      </c>
      <c r="F22">
        <f>+dato3!S22</f>
        <v>0.5</v>
      </c>
      <c r="G22">
        <f>+dato3!U22</f>
        <v>0</v>
      </c>
      <c r="H22">
        <f>+dato3!W22</f>
        <v>0.5</v>
      </c>
      <c r="I22">
        <f>+dato3!Y22</f>
        <v>1</v>
      </c>
      <c r="J22">
        <f>+dato3!AA22</f>
        <v>1</v>
      </c>
      <c r="L22">
        <f>+dato3!AE22</f>
        <v>0</v>
      </c>
      <c r="M22">
        <f>+dato3!AG22</f>
        <v>0</v>
      </c>
      <c r="N22">
        <f>+dato3!AI22</f>
        <v>0</v>
      </c>
      <c r="O22">
        <f>+dato3!AK22</f>
        <v>0</v>
      </c>
      <c r="P22">
        <f>+dato3!AM22</f>
        <v>-0.5</v>
      </c>
      <c r="Q22">
        <f>+dato3!AO22</f>
        <v>0.5</v>
      </c>
      <c r="R22">
        <f>+dato3!AQ22</f>
        <v>-1</v>
      </c>
      <c r="S22">
        <f>+dato3!AS22</f>
        <v>1</v>
      </c>
      <c r="T22">
        <f>+dato3!AU22</f>
        <v>1</v>
      </c>
    </row>
    <row r="23" spans="1:20" x14ac:dyDescent="0.25">
      <c r="A23" t="s">
        <v>118</v>
      </c>
      <c r="B23">
        <v>1</v>
      </c>
      <c r="C23">
        <f>+dato3!M23</f>
        <v>0.5</v>
      </c>
      <c r="D23">
        <f>+dato3!O23</f>
        <v>0</v>
      </c>
      <c r="E23">
        <f>+dato3!Q23</f>
        <v>-1</v>
      </c>
      <c r="F23">
        <f>+dato3!S23</f>
        <v>0.5</v>
      </c>
      <c r="G23">
        <f>+dato3!U23</f>
        <v>0</v>
      </c>
      <c r="H23">
        <f>+dato3!W23</f>
        <v>0</v>
      </c>
      <c r="I23">
        <f>+dato3!Y23</f>
        <v>0</v>
      </c>
      <c r="J23">
        <f>+dato3!AA23</f>
        <v>-1</v>
      </c>
      <c r="L23">
        <f>+dato3!AE23</f>
        <v>0</v>
      </c>
      <c r="M23">
        <f>+dato3!AG23</f>
        <v>-0.5</v>
      </c>
      <c r="N23">
        <f>+dato3!AI23</f>
        <v>0.5</v>
      </c>
      <c r="O23">
        <f>+dato3!AK23</f>
        <v>1</v>
      </c>
      <c r="P23">
        <f>+dato3!AM23</f>
        <v>-0.5</v>
      </c>
      <c r="Q23">
        <f>+dato3!AO23</f>
        <v>-0.5</v>
      </c>
      <c r="R23">
        <f>+dato3!AQ23</f>
        <v>-1</v>
      </c>
      <c r="S23">
        <f>+dato3!AS23</f>
        <v>0.5</v>
      </c>
      <c r="T23">
        <f>+dato3!AU23</f>
        <v>0.5</v>
      </c>
    </row>
    <row r="24" spans="1:20" x14ac:dyDescent="0.25">
      <c r="A24" t="s">
        <v>119</v>
      </c>
      <c r="B24">
        <v>0</v>
      </c>
      <c r="C24">
        <f>+dato3!M24</f>
        <v>0</v>
      </c>
      <c r="D24">
        <f>+dato3!O24</f>
        <v>0</v>
      </c>
      <c r="E24">
        <f>+dato3!Q24</f>
        <v>-0.5</v>
      </c>
      <c r="F24">
        <f>+dato3!S24</f>
        <v>0.5</v>
      </c>
      <c r="G24">
        <f>+dato3!U24</f>
        <v>0</v>
      </c>
      <c r="H24">
        <f>+dato3!W24</f>
        <v>0</v>
      </c>
      <c r="I24">
        <f>+dato3!Y24</f>
        <v>0</v>
      </c>
      <c r="J24">
        <f>+dato3!AA24</f>
        <v>0</v>
      </c>
      <c r="L24">
        <f>+dato3!AE24</f>
        <v>0.5</v>
      </c>
      <c r="M24">
        <f>+dato3!AG24</f>
        <v>0</v>
      </c>
      <c r="N24">
        <f>+dato3!AI24</f>
        <v>-1</v>
      </c>
      <c r="O24">
        <f>+dato3!AK24</f>
        <v>-1</v>
      </c>
      <c r="P24">
        <f>+dato3!AM24</f>
        <v>0.5</v>
      </c>
      <c r="Q24">
        <f>+dato3!AO24</f>
        <v>0</v>
      </c>
      <c r="R24">
        <f>+dato3!AQ24</f>
        <v>0</v>
      </c>
      <c r="S24">
        <f>+dato3!AS24</f>
        <v>0</v>
      </c>
      <c r="T24">
        <f>+dato3!AU24</f>
        <v>1</v>
      </c>
    </row>
    <row r="25" spans="1:20" x14ac:dyDescent="0.25">
      <c r="A25" t="s">
        <v>120</v>
      </c>
      <c r="B25">
        <v>1</v>
      </c>
      <c r="C25">
        <f>+dato3!M25</f>
        <v>-1</v>
      </c>
      <c r="D25">
        <f>+dato3!O25</f>
        <v>-0.5</v>
      </c>
      <c r="E25">
        <f>+dato3!Q25</f>
        <v>1</v>
      </c>
      <c r="F25">
        <f>+dato3!S25</f>
        <v>0.5</v>
      </c>
      <c r="G25">
        <f>+dato3!U25</f>
        <v>0</v>
      </c>
      <c r="H25">
        <f>+dato3!W25</f>
        <v>0</v>
      </c>
      <c r="I25">
        <f>+dato3!Y25</f>
        <v>1</v>
      </c>
      <c r="J25">
        <f>+dato3!AA25</f>
        <v>-0.5</v>
      </c>
      <c r="L25">
        <f>+dato3!AE25</f>
        <v>-1</v>
      </c>
      <c r="M25">
        <f>+dato3!AG25</f>
        <v>-1</v>
      </c>
      <c r="N25">
        <f>+dato3!AI25</f>
        <v>0</v>
      </c>
      <c r="O25">
        <f>+dato3!AK25</f>
        <v>-1</v>
      </c>
      <c r="P25">
        <f>+dato3!AM25</f>
        <v>-0.5</v>
      </c>
      <c r="Q25">
        <f>+dato3!AO25</f>
        <v>1</v>
      </c>
      <c r="R25">
        <f>+dato3!AQ25</f>
        <v>0</v>
      </c>
      <c r="S25">
        <f>+dato3!AS25</f>
        <v>1</v>
      </c>
      <c r="T25">
        <f>+dato3!AU25</f>
        <v>1</v>
      </c>
    </row>
    <row r="26" spans="1:20" x14ac:dyDescent="0.25">
      <c r="A26" t="s">
        <v>121</v>
      </c>
      <c r="B26">
        <v>0</v>
      </c>
      <c r="C26">
        <f>+dato3!M26</f>
        <v>-0.5</v>
      </c>
      <c r="D26">
        <f>+dato3!O26</f>
        <v>0</v>
      </c>
      <c r="E26">
        <f>+dato3!Q26</f>
        <v>-0.5</v>
      </c>
      <c r="F26">
        <f>+dato3!S26</f>
        <v>0</v>
      </c>
      <c r="G26">
        <f>+dato3!U26</f>
        <v>-0.5</v>
      </c>
      <c r="H26">
        <f>+dato3!W26</f>
        <v>0.5</v>
      </c>
      <c r="I26">
        <f>+dato3!Y26</f>
        <v>0</v>
      </c>
      <c r="J26">
        <f>+dato3!AA26</f>
        <v>-0.5</v>
      </c>
      <c r="L26">
        <f>+dato3!AE26</f>
        <v>0</v>
      </c>
      <c r="M26">
        <f>+dato3!AG26</f>
        <v>-0.5</v>
      </c>
      <c r="N26">
        <f>+dato3!AI26</f>
        <v>-0.5</v>
      </c>
      <c r="O26">
        <f>+dato3!AK26</f>
        <v>-0.5</v>
      </c>
      <c r="P26">
        <f>+dato3!AM26</f>
        <v>-1</v>
      </c>
      <c r="Q26">
        <f>+dato3!AO26</f>
        <v>0.5</v>
      </c>
      <c r="R26">
        <f>+dato3!AQ26</f>
        <v>-0.5</v>
      </c>
      <c r="S26">
        <f>+dato3!AS26</f>
        <v>0.5</v>
      </c>
      <c r="T26">
        <f>+dato3!AU26</f>
        <v>0.5</v>
      </c>
    </row>
    <row r="27" spans="1:20" x14ac:dyDescent="0.25">
      <c r="A27" t="s">
        <v>124</v>
      </c>
      <c r="B27">
        <v>1</v>
      </c>
      <c r="C27">
        <f>+dato3!M27</f>
        <v>0</v>
      </c>
      <c r="D27">
        <f>+dato3!O27</f>
        <v>0</v>
      </c>
      <c r="E27">
        <f>+dato3!Q27</f>
        <v>-0.5</v>
      </c>
      <c r="F27">
        <f>+dato3!S27</f>
        <v>0</v>
      </c>
      <c r="G27">
        <f>+dato3!U27</f>
        <v>0</v>
      </c>
      <c r="H27">
        <f>+dato3!W27</f>
        <v>0</v>
      </c>
      <c r="I27">
        <f>+dato3!Y27</f>
        <v>0.5</v>
      </c>
      <c r="J27">
        <f>+dato3!AA27</f>
        <v>-0.5</v>
      </c>
      <c r="L27">
        <f>+dato3!AE27</f>
        <v>0</v>
      </c>
      <c r="M27">
        <f>+dato3!AG27</f>
        <v>-0.5</v>
      </c>
      <c r="N27">
        <f>+dato3!AI27</f>
        <v>-0.5</v>
      </c>
      <c r="O27">
        <f>+dato3!AK27</f>
        <v>-1</v>
      </c>
      <c r="P27">
        <f>+dato3!AM27</f>
        <v>0</v>
      </c>
      <c r="Q27">
        <f>+dato3!AO27</f>
        <v>0.5</v>
      </c>
      <c r="R27">
        <f>+dato3!AQ27</f>
        <v>0</v>
      </c>
      <c r="S27">
        <f>+dato3!AS27</f>
        <v>0.5</v>
      </c>
      <c r="T27">
        <f>+dato3!AU27</f>
        <v>1</v>
      </c>
    </row>
    <row r="28" spans="1:20" x14ac:dyDescent="0.25">
      <c r="A28" t="s">
        <v>125</v>
      </c>
      <c r="B28">
        <v>1</v>
      </c>
      <c r="C28">
        <f>+dato3!M28</f>
        <v>0.5</v>
      </c>
      <c r="D28">
        <f>+dato3!O28</f>
        <v>1</v>
      </c>
      <c r="E28">
        <f>+dato3!Q28</f>
        <v>1</v>
      </c>
      <c r="F28">
        <f>+dato3!S28</f>
        <v>0.5</v>
      </c>
      <c r="G28">
        <f>+dato3!U28</f>
        <v>0.5</v>
      </c>
      <c r="H28">
        <f>+dato3!W28</f>
        <v>-0.5</v>
      </c>
      <c r="I28">
        <f>+dato3!Y28</f>
        <v>0.5</v>
      </c>
      <c r="J28">
        <f>+dato3!AA28</f>
        <v>-0.5</v>
      </c>
      <c r="L28">
        <f>+dato3!AE28</f>
        <v>-0.5</v>
      </c>
      <c r="M28">
        <f>+dato3!AG28</f>
        <v>-1</v>
      </c>
      <c r="N28">
        <f>+dato3!AI28</f>
        <v>0</v>
      </c>
      <c r="O28">
        <f>+dato3!AK28</f>
        <v>0</v>
      </c>
      <c r="P28">
        <f>+dato3!AM28</f>
        <v>-1</v>
      </c>
      <c r="Q28">
        <f>+dato3!AO28</f>
        <v>1</v>
      </c>
      <c r="R28">
        <f>+dato3!AQ28</f>
        <v>0.5</v>
      </c>
      <c r="S28">
        <f>+dato3!AS28</f>
        <v>1</v>
      </c>
      <c r="T28">
        <f>+dato3!AU28</f>
        <v>-0.5</v>
      </c>
    </row>
    <row r="29" spans="1:20" x14ac:dyDescent="0.25">
      <c r="A29" t="s">
        <v>126</v>
      </c>
      <c r="B29">
        <v>1</v>
      </c>
      <c r="C29">
        <f>+dato3!M29</f>
        <v>0</v>
      </c>
      <c r="D29">
        <f>+dato3!O29</f>
        <v>0</v>
      </c>
      <c r="E29">
        <f>+dato3!Q29</f>
        <v>-1</v>
      </c>
      <c r="F29">
        <f>+dato3!S29</f>
        <v>0.5</v>
      </c>
      <c r="G29">
        <f>+dato3!U29</f>
        <v>0</v>
      </c>
      <c r="H29">
        <f>+dato3!W29</f>
        <v>0</v>
      </c>
      <c r="I29">
        <f>+dato3!Y29</f>
        <v>0</v>
      </c>
      <c r="J29">
        <f>+dato3!AA29</f>
        <v>-0.5</v>
      </c>
      <c r="L29">
        <f>+dato3!AE29</f>
        <v>0</v>
      </c>
      <c r="M29">
        <f>+dato3!AG29</f>
        <v>-0.5</v>
      </c>
      <c r="N29">
        <f>+dato3!AI29</f>
        <v>-1</v>
      </c>
      <c r="O29">
        <f>+dato3!AK29</f>
        <v>-1</v>
      </c>
      <c r="P29">
        <f>+dato3!AM29</f>
        <v>0</v>
      </c>
      <c r="Q29">
        <f>+dato3!AO29</f>
        <v>0</v>
      </c>
      <c r="R29">
        <f>+dato3!AQ29</f>
        <v>0</v>
      </c>
      <c r="S29">
        <f>+dato3!AS29</f>
        <v>0</v>
      </c>
      <c r="T29">
        <f>+dato3!AU29</f>
        <v>1</v>
      </c>
    </row>
    <row r="30" spans="1:20" x14ac:dyDescent="0.25">
      <c r="A30" t="s">
        <v>127</v>
      </c>
      <c r="B30">
        <v>0</v>
      </c>
      <c r="C30">
        <f>+dato3!M30</f>
        <v>-1</v>
      </c>
      <c r="D30">
        <f>+dato3!O30</f>
        <v>-1</v>
      </c>
      <c r="E30">
        <f>+dato3!Q30</f>
        <v>-1</v>
      </c>
      <c r="F30">
        <f>+dato3!S30</f>
        <v>-0.5</v>
      </c>
      <c r="G30">
        <f>+dato3!U30</f>
        <v>-1</v>
      </c>
      <c r="H30">
        <f>+dato3!W30</f>
        <v>0</v>
      </c>
      <c r="I30">
        <f>+dato3!Y30</f>
        <v>-0.5</v>
      </c>
      <c r="J30">
        <f>+dato3!AA30</f>
        <v>-1</v>
      </c>
      <c r="L30">
        <f>+dato3!AE30</f>
        <v>0.5</v>
      </c>
      <c r="M30">
        <f>+dato3!AG30</f>
        <v>0</v>
      </c>
      <c r="N30">
        <f>+dato3!AI30</f>
        <v>-1</v>
      </c>
      <c r="O30">
        <f>+dato3!AK30</f>
        <v>-1</v>
      </c>
      <c r="P30">
        <f>+dato3!AM30</f>
        <v>-1</v>
      </c>
      <c r="Q30">
        <f>+dato3!AO30</f>
        <v>0</v>
      </c>
      <c r="R30">
        <f>+dato3!AQ30</f>
        <v>-0.5</v>
      </c>
      <c r="S30">
        <f>+dato3!AS30</f>
        <v>-1</v>
      </c>
      <c r="T30">
        <f>+dato3!AU30</f>
        <v>1</v>
      </c>
    </row>
    <row r="31" spans="1:20" x14ac:dyDescent="0.25">
      <c r="A31" t="s">
        <v>129</v>
      </c>
      <c r="B31">
        <v>0</v>
      </c>
      <c r="C31">
        <f>+dato3!M31</f>
        <v>-0.5</v>
      </c>
      <c r="D31">
        <f>+dato3!O31</f>
        <v>-0.5</v>
      </c>
      <c r="E31">
        <f>+dato3!Q31</f>
        <v>-1</v>
      </c>
      <c r="F31">
        <f>+dato3!S31</f>
        <v>-1</v>
      </c>
      <c r="G31">
        <f>+dato3!U31</f>
        <v>-0.5</v>
      </c>
      <c r="H31">
        <f>+dato3!W31</f>
        <v>0</v>
      </c>
      <c r="I31">
        <f>+dato3!Y31</f>
        <v>0</v>
      </c>
      <c r="J31">
        <f>+dato3!AA31</f>
        <v>-1</v>
      </c>
      <c r="L31">
        <f>+dato3!AE31</f>
        <v>-0.5</v>
      </c>
      <c r="M31">
        <f>+dato3!AG31</f>
        <v>0.5</v>
      </c>
      <c r="N31">
        <f>+dato3!AI31</f>
        <v>-1</v>
      </c>
      <c r="O31">
        <f>+dato3!AK31</f>
        <v>-1</v>
      </c>
      <c r="P31">
        <f>+dato3!AM31</f>
        <v>-1</v>
      </c>
      <c r="Q31">
        <f>+dato3!AO31</f>
        <v>0</v>
      </c>
      <c r="R31">
        <f>+dato3!AQ31</f>
        <v>-0.5</v>
      </c>
      <c r="S31">
        <f>+dato3!AS31</f>
        <v>-1</v>
      </c>
      <c r="T31">
        <f>+dato3!AU31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1FBB-0870-47F8-AE52-68D05A86574C}">
  <dimension ref="A1:AI32"/>
  <sheetViews>
    <sheetView tabSelected="1" topLeftCell="I1" workbookViewId="0">
      <selection activeCell="AC8" sqref="AC8"/>
    </sheetView>
  </sheetViews>
  <sheetFormatPr baseColWidth="10" defaultRowHeight="15" x14ac:dyDescent="0.25"/>
  <sheetData>
    <row r="1" spans="1:35" x14ac:dyDescent="0.25">
      <c r="A1" s="11" t="s">
        <v>136</v>
      </c>
      <c r="B1" s="11" t="s">
        <v>159</v>
      </c>
      <c r="C1" s="11" t="s">
        <v>160</v>
      </c>
      <c r="D1" s="11" t="s">
        <v>163</v>
      </c>
      <c r="F1" s="11" t="s">
        <v>136</v>
      </c>
      <c r="G1" s="11" t="s">
        <v>158</v>
      </c>
      <c r="H1" s="11" t="s">
        <v>160</v>
      </c>
      <c r="I1" s="11" t="s">
        <v>162</v>
      </c>
      <c r="N1" t="s">
        <v>172</v>
      </c>
      <c r="O1" t="s">
        <v>173</v>
      </c>
      <c r="T1" t="s">
        <v>173</v>
      </c>
      <c r="U1" t="s">
        <v>174</v>
      </c>
    </row>
    <row r="2" spans="1:35" x14ac:dyDescent="0.25">
      <c r="A2">
        <v>1</v>
      </c>
      <c r="B2">
        <v>0.5</v>
      </c>
      <c r="C2">
        <v>1</v>
      </c>
      <c r="D2">
        <v>0.97545455282533577</v>
      </c>
      <c r="F2">
        <v>1</v>
      </c>
      <c r="G2">
        <v>-1</v>
      </c>
      <c r="H2">
        <v>1</v>
      </c>
      <c r="I2">
        <v>0.98356854217053835</v>
      </c>
      <c r="M2" s="11" t="s">
        <v>136</v>
      </c>
      <c r="N2" s="11" t="s">
        <v>158</v>
      </c>
      <c r="O2" s="11" t="s">
        <v>160</v>
      </c>
      <c r="P2" s="11" t="s">
        <v>162</v>
      </c>
      <c r="S2" s="11" t="s">
        <v>136</v>
      </c>
      <c r="T2" s="11" t="s">
        <v>159</v>
      </c>
      <c r="U2" s="11" t="s">
        <v>160</v>
      </c>
      <c r="V2" s="11" t="s">
        <v>163</v>
      </c>
      <c r="Y2" s="11" t="s">
        <v>136</v>
      </c>
      <c r="Z2" s="11" t="s">
        <v>175</v>
      </c>
      <c r="AA2" s="11" t="s">
        <v>176</v>
      </c>
      <c r="AB2" s="11" t="s">
        <v>177</v>
      </c>
      <c r="AC2" s="11" t="s">
        <v>178</v>
      </c>
      <c r="AD2" s="11" t="s">
        <v>159</v>
      </c>
      <c r="AE2" s="11" t="s">
        <v>179</v>
      </c>
      <c r="AF2" s="11" t="s">
        <v>160</v>
      </c>
      <c r="AG2" s="11" t="s">
        <v>180</v>
      </c>
      <c r="AH2" s="11" t="s">
        <v>171</v>
      </c>
    </row>
    <row r="3" spans="1:35" x14ac:dyDescent="0.25">
      <c r="A3">
        <v>0</v>
      </c>
      <c r="B3">
        <v>0</v>
      </c>
      <c r="C3">
        <v>0</v>
      </c>
      <c r="D3">
        <v>0.58791928874935662</v>
      </c>
      <c r="F3">
        <v>0</v>
      </c>
      <c r="G3">
        <v>0</v>
      </c>
      <c r="H3">
        <v>0</v>
      </c>
      <c r="I3">
        <v>0.36116575984677762</v>
      </c>
      <c r="M3">
        <v>0</v>
      </c>
      <c r="N3">
        <v>1</v>
      </c>
      <c r="O3">
        <v>0</v>
      </c>
      <c r="P3">
        <v>3.949462474599915E-2</v>
      </c>
      <c r="S3">
        <v>0</v>
      </c>
      <c r="T3">
        <v>0</v>
      </c>
      <c r="U3">
        <v>0</v>
      </c>
      <c r="V3">
        <v>0.58791928874935662</v>
      </c>
      <c r="Y3">
        <v>0</v>
      </c>
      <c r="Z3">
        <v>0</v>
      </c>
      <c r="AA3">
        <v>-0.5</v>
      </c>
      <c r="AB3">
        <v>-1</v>
      </c>
      <c r="AC3">
        <v>0</v>
      </c>
      <c r="AD3">
        <v>0</v>
      </c>
      <c r="AE3">
        <v>0</v>
      </c>
      <c r="AF3">
        <v>0</v>
      </c>
      <c r="AG3">
        <v>-0.5</v>
      </c>
      <c r="AH3">
        <v>0.48101904811523238</v>
      </c>
    </row>
    <row r="4" spans="1:35" x14ac:dyDescent="0.25">
      <c r="A4">
        <v>1</v>
      </c>
      <c r="B4">
        <v>0</v>
      </c>
      <c r="C4">
        <v>0.5</v>
      </c>
      <c r="D4">
        <v>0.81667822860072792</v>
      </c>
      <c r="F4">
        <v>1</v>
      </c>
      <c r="G4">
        <v>-1</v>
      </c>
      <c r="H4">
        <v>0.5</v>
      </c>
      <c r="I4">
        <v>0.95569470584033411</v>
      </c>
      <c r="M4">
        <v>0</v>
      </c>
      <c r="N4">
        <v>0.5</v>
      </c>
      <c r="O4">
        <v>0</v>
      </c>
      <c r="P4">
        <v>0.1322968391606075</v>
      </c>
      <c r="S4">
        <v>0</v>
      </c>
      <c r="T4">
        <v>0</v>
      </c>
      <c r="U4">
        <v>0</v>
      </c>
      <c r="V4">
        <v>0.58791928874935662</v>
      </c>
      <c r="Y4">
        <v>0</v>
      </c>
      <c r="Z4">
        <v>0</v>
      </c>
      <c r="AA4">
        <v>0</v>
      </c>
      <c r="AB4">
        <v>-0.5</v>
      </c>
      <c r="AC4">
        <v>0.5</v>
      </c>
      <c r="AD4">
        <v>0</v>
      </c>
      <c r="AE4">
        <v>0</v>
      </c>
      <c r="AF4">
        <v>0</v>
      </c>
      <c r="AG4">
        <v>-0.5</v>
      </c>
      <c r="AH4">
        <v>0.67659946390556436</v>
      </c>
    </row>
    <row r="5" spans="1:35" x14ac:dyDescent="0.25">
      <c r="A5">
        <v>1</v>
      </c>
      <c r="B5">
        <v>-0.5</v>
      </c>
      <c r="C5">
        <v>0.5</v>
      </c>
      <c r="D5">
        <v>0.6092734249154439</v>
      </c>
      <c r="F5">
        <v>1</v>
      </c>
      <c r="G5">
        <v>-1</v>
      </c>
      <c r="H5">
        <v>0.5</v>
      </c>
      <c r="I5">
        <v>0.95569470584033411</v>
      </c>
      <c r="M5">
        <v>0</v>
      </c>
      <c r="N5">
        <v>0</v>
      </c>
      <c r="O5">
        <v>-0.5</v>
      </c>
      <c r="P5">
        <v>0.16924840716025691</v>
      </c>
      <c r="S5">
        <v>0</v>
      </c>
      <c r="T5">
        <v>0.5</v>
      </c>
      <c r="U5">
        <v>0</v>
      </c>
      <c r="V5">
        <v>0.80299408139221251</v>
      </c>
      <c r="Y5">
        <v>0</v>
      </c>
      <c r="Z5">
        <v>-0.5</v>
      </c>
      <c r="AA5">
        <v>0</v>
      </c>
      <c r="AB5">
        <v>-0.5</v>
      </c>
      <c r="AC5">
        <v>0.5</v>
      </c>
      <c r="AD5">
        <v>0.5</v>
      </c>
      <c r="AE5">
        <v>0.5</v>
      </c>
      <c r="AF5">
        <v>0</v>
      </c>
      <c r="AG5">
        <v>-0.5</v>
      </c>
      <c r="AH5">
        <v>0.77371147169332877</v>
      </c>
    </row>
    <row r="6" spans="1:35" x14ac:dyDescent="0.25">
      <c r="A6">
        <v>0</v>
      </c>
      <c r="B6">
        <v>0</v>
      </c>
      <c r="C6">
        <v>0</v>
      </c>
      <c r="D6">
        <v>0.58791928874935662</v>
      </c>
      <c r="F6">
        <v>0</v>
      </c>
      <c r="G6">
        <v>0</v>
      </c>
      <c r="H6">
        <v>0</v>
      </c>
      <c r="I6">
        <v>0.36116575984677762</v>
      </c>
      <c r="M6">
        <v>0</v>
      </c>
      <c r="N6">
        <v>0</v>
      </c>
      <c r="O6">
        <v>0</v>
      </c>
      <c r="P6">
        <v>0.36116575984677762</v>
      </c>
      <c r="S6">
        <v>0</v>
      </c>
      <c r="T6">
        <v>-1</v>
      </c>
      <c r="U6">
        <v>0</v>
      </c>
      <c r="V6">
        <v>0.14879090400625161</v>
      </c>
      <c r="Y6">
        <v>0</v>
      </c>
      <c r="Z6">
        <v>1</v>
      </c>
      <c r="AA6">
        <v>-1</v>
      </c>
      <c r="AB6">
        <v>-1</v>
      </c>
      <c r="AC6">
        <v>-1</v>
      </c>
      <c r="AD6">
        <v>-1</v>
      </c>
      <c r="AE6">
        <v>-0.5</v>
      </c>
      <c r="AF6">
        <v>0</v>
      </c>
      <c r="AG6">
        <v>-1</v>
      </c>
      <c r="AH6">
        <v>4.9727857939840289E-2</v>
      </c>
      <c r="AI6">
        <f>+AVERAGE(AH3:AH12)</f>
        <v>0.41659272636181266</v>
      </c>
    </row>
    <row r="7" spans="1:35" x14ac:dyDescent="0.25">
      <c r="A7">
        <v>1</v>
      </c>
      <c r="B7">
        <v>1</v>
      </c>
      <c r="C7">
        <v>-0.5</v>
      </c>
      <c r="D7">
        <v>0.78855294140196575</v>
      </c>
      <c r="F7">
        <v>1</v>
      </c>
      <c r="G7">
        <v>-1</v>
      </c>
      <c r="H7">
        <v>-0.5</v>
      </c>
      <c r="I7">
        <v>0.73692048668605348</v>
      </c>
      <c r="M7">
        <v>0</v>
      </c>
      <c r="N7">
        <v>0</v>
      </c>
      <c r="O7">
        <v>0</v>
      </c>
      <c r="P7">
        <v>0.36116575984677762</v>
      </c>
      <c r="Q7">
        <f>+AVERAGE(P3:P12)</f>
        <v>0.43089613496487489</v>
      </c>
      <c r="S7">
        <v>0</v>
      </c>
      <c r="T7">
        <v>0</v>
      </c>
      <c r="U7">
        <v>0</v>
      </c>
      <c r="V7">
        <v>0.58791928874935662</v>
      </c>
      <c r="W7">
        <f>+AVERAGE(V3:V12)</f>
        <v>0.48392755074299904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0.5</v>
      </c>
      <c r="AF7">
        <v>0</v>
      </c>
      <c r="AG7">
        <v>0</v>
      </c>
      <c r="AH7">
        <v>0.16472468629775111</v>
      </c>
    </row>
    <row r="8" spans="1:35" x14ac:dyDescent="0.25">
      <c r="A8">
        <v>1</v>
      </c>
      <c r="B8">
        <v>0</v>
      </c>
      <c r="C8">
        <v>0</v>
      </c>
      <c r="D8">
        <v>0.58791928874935662</v>
      </c>
      <c r="F8">
        <v>1</v>
      </c>
      <c r="G8">
        <v>-0.5</v>
      </c>
      <c r="H8">
        <v>0</v>
      </c>
      <c r="I8">
        <v>0.67703642037575862</v>
      </c>
      <c r="M8">
        <v>0</v>
      </c>
      <c r="N8">
        <v>0</v>
      </c>
      <c r="O8">
        <v>0</v>
      </c>
      <c r="P8">
        <v>0.36116575984677762</v>
      </c>
      <c r="S8">
        <v>0</v>
      </c>
      <c r="T8">
        <v>0</v>
      </c>
      <c r="U8">
        <v>0.5</v>
      </c>
      <c r="V8">
        <v>0.81667822860072792</v>
      </c>
      <c r="Y8">
        <v>0</v>
      </c>
      <c r="Z8">
        <v>0.5</v>
      </c>
      <c r="AA8">
        <v>0</v>
      </c>
      <c r="AB8">
        <v>0</v>
      </c>
      <c r="AC8">
        <v>0.5</v>
      </c>
      <c r="AD8">
        <v>0</v>
      </c>
      <c r="AE8">
        <v>1</v>
      </c>
      <c r="AF8">
        <v>0.5</v>
      </c>
      <c r="AG8">
        <v>0</v>
      </c>
      <c r="AH8">
        <v>0.73357305749063673</v>
      </c>
    </row>
    <row r="9" spans="1:35" x14ac:dyDescent="0.25">
      <c r="A9">
        <v>0</v>
      </c>
      <c r="B9">
        <v>0.5</v>
      </c>
      <c r="C9">
        <v>0</v>
      </c>
      <c r="D9">
        <v>0.80299408139221251</v>
      </c>
      <c r="F9">
        <v>0</v>
      </c>
      <c r="G9">
        <v>-0.5</v>
      </c>
      <c r="H9">
        <v>0</v>
      </c>
      <c r="I9">
        <v>0.67703642037575862</v>
      </c>
      <c r="M9">
        <v>0</v>
      </c>
      <c r="N9">
        <v>-0.5</v>
      </c>
      <c r="O9">
        <v>0</v>
      </c>
      <c r="P9">
        <v>0.67703642037575862</v>
      </c>
      <c r="S9">
        <v>0</v>
      </c>
      <c r="T9">
        <v>0</v>
      </c>
      <c r="U9">
        <v>0</v>
      </c>
      <c r="V9">
        <v>0.58791928874935662</v>
      </c>
      <c r="Y9">
        <v>0</v>
      </c>
      <c r="Z9">
        <v>0</v>
      </c>
      <c r="AA9">
        <v>0</v>
      </c>
      <c r="AB9">
        <v>-0.5</v>
      </c>
      <c r="AC9">
        <v>0.5</v>
      </c>
      <c r="AD9">
        <v>0</v>
      </c>
      <c r="AE9">
        <v>0</v>
      </c>
      <c r="AF9">
        <v>0</v>
      </c>
      <c r="AG9">
        <v>0</v>
      </c>
      <c r="AH9">
        <v>0.52402847588655288</v>
      </c>
    </row>
    <row r="10" spans="1:35" x14ac:dyDescent="0.25">
      <c r="A10">
        <v>1</v>
      </c>
      <c r="B10">
        <v>0</v>
      </c>
      <c r="C10">
        <v>-0.5</v>
      </c>
      <c r="D10">
        <v>0.31361741360056472</v>
      </c>
      <c r="F10">
        <v>1</v>
      </c>
      <c r="G10">
        <v>-0.5</v>
      </c>
      <c r="H10">
        <v>-0.5</v>
      </c>
      <c r="I10">
        <v>0.43033859671389352</v>
      </c>
      <c r="M10">
        <v>0</v>
      </c>
      <c r="N10">
        <v>-0.5</v>
      </c>
      <c r="O10">
        <v>0</v>
      </c>
      <c r="P10">
        <v>0.67703642037575862</v>
      </c>
      <c r="S10">
        <v>0</v>
      </c>
      <c r="T10">
        <v>-0.5</v>
      </c>
      <c r="U10">
        <v>0</v>
      </c>
      <c r="V10">
        <v>0.33306105467332148</v>
      </c>
      <c r="Y10">
        <v>0</v>
      </c>
      <c r="Z10">
        <v>-0.5</v>
      </c>
      <c r="AA10">
        <v>0</v>
      </c>
      <c r="AB10">
        <v>-0.5</v>
      </c>
      <c r="AC10">
        <v>0</v>
      </c>
      <c r="AD10">
        <v>-0.5</v>
      </c>
      <c r="AE10">
        <v>0.5</v>
      </c>
      <c r="AF10">
        <v>0</v>
      </c>
      <c r="AG10">
        <v>-0.5</v>
      </c>
      <c r="AH10">
        <v>0.4631198701108617</v>
      </c>
    </row>
    <row r="11" spans="1:35" x14ac:dyDescent="0.25">
      <c r="A11">
        <v>0</v>
      </c>
      <c r="B11">
        <v>-1</v>
      </c>
      <c r="C11">
        <v>0</v>
      </c>
      <c r="D11">
        <v>0.14879090400625161</v>
      </c>
      <c r="F11">
        <v>0</v>
      </c>
      <c r="G11">
        <v>1</v>
      </c>
      <c r="H11">
        <v>0</v>
      </c>
      <c r="I11">
        <v>3.949462474599915E-2</v>
      </c>
      <c r="M11">
        <v>0</v>
      </c>
      <c r="N11">
        <v>-0.5</v>
      </c>
      <c r="O11">
        <v>0</v>
      </c>
      <c r="P11">
        <v>0.67703642037575862</v>
      </c>
      <c r="S11">
        <v>0</v>
      </c>
      <c r="T11">
        <v>-1</v>
      </c>
      <c r="U11">
        <v>-0.5</v>
      </c>
      <c r="V11">
        <v>5.3013029086728648E-2</v>
      </c>
      <c r="Y11">
        <v>0</v>
      </c>
      <c r="Z11">
        <v>-1</v>
      </c>
      <c r="AA11">
        <v>-1</v>
      </c>
      <c r="AB11">
        <v>-1</v>
      </c>
      <c r="AC11">
        <v>-0.5</v>
      </c>
      <c r="AD11">
        <v>-1</v>
      </c>
      <c r="AE11">
        <v>0</v>
      </c>
      <c r="AF11">
        <v>-0.5</v>
      </c>
      <c r="AG11">
        <v>-1</v>
      </c>
      <c r="AH11">
        <v>1.9544374132246189E-2</v>
      </c>
    </row>
    <row r="12" spans="1:35" ht="15.75" thickBot="1" x14ac:dyDescent="0.3">
      <c r="A12">
        <v>1</v>
      </c>
      <c r="B12">
        <v>0</v>
      </c>
      <c r="C12">
        <v>0</v>
      </c>
      <c r="D12">
        <v>0.58791928874935662</v>
      </c>
      <c r="F12">
        <v>1</v>
      </c>
      <c r="G12">
        <v>-0.5</v>
      </c>
      <c r="H12">
        <v>0</v>
      </c>
      <c r="I12">
        <v>0.67703642037575862</v>
      </c>
      <c r="M12">
        <v>0</v>
      </c>
      <c r="N12">
        <v>-0.5</v>
      </c>
      <c r="O12">
        <v>0.5</v>
      </c>
      <c r="P12" s="1">
        <v>0.85331493791427682</v>
      </c>
      <c r="S12">
        <v>0</v>
      </c>
      <c r="T12">
        <v>-0.5</v>
      </c>
      <c r="U12">
        <v>0</v>
      </c>
      <c r="V12">
        <v>0.33306105467332148</v>
      </c>
      <c r="Y12">
        <v>0</v>
      </c>
      <c r="Z12">
        <v>-0.5</v>
      </c>
      <c r="AA12">
        <v>-0.5</v>
      </c>
      <c r="AB12">
        <v>-1</v>
      </c>
      <c r="AC12">
        <v>-1</v>
      </c>
      <c r="AD12">
        <v>-0.5</v>
      </c>
      <c r="AE12">
        <v>0</v>
      </c>
      <c r="AF12">
        <v>0</v>
      </c>
      <c r="AG12">
        <v>-1</v>
      </c>
      <c r="AH12">
        <v>0.27987895804611229</v>
      </c>
    </row>
    <row r="13" spans="1:35" x14ac:dyDescent="0.25">
      <c r="A13">
        <v>1</v>
      </c>
      <c r="B13">
        <v>0</v>
      </c>
      <c r="C13">
        <v>0.5</v>
      </c>
      <c r="D13">
        <v>0.81667822860072792</v>
      </c>
      <c r="F13">
        <v>1</v>
      </c>
      <c r="G13">
        <v>-0.5</v>
      </c>
      <c r="H13">
        <v>0.5</v>
      </c>
      <c r="I13">
        <v>0.85331493791427682</v>
      </c>
      <c r="M13" s="15">
        <v>1</v>
      </c>
      <c r="N13" s="16">
        <v>0.5</v>
      </c>
      <c r="O13" s="16">
        <v>0</v>
      </c>
      <c r="P13" s="25">
        <v>0.1322968391606075</v>
      </c>
      <c r="S13" s="15">
        <v>1</v>
      </c>
      <c r="T13" s="16">
        <v>0.5</v>
      </c>
      <c r="U13" s="16">
        <v>1</v>
      </c>
      <c r="V13" s="17">
        <v>0.97545455282533577</v>
      </c>
      <c r="Y13" s="15">
        <v>1</v>
      </c>
      <c r="Z13" s="16">
        <v>1</v>
      </c>
      <c r="AA13" s="16">
        <v>0</v>
      </c>
      <c r="AB13" s="16">
        <v>-0.5</v>
      </c>
      <c r="AC13" s="16">
        <v>1</v>
      </c>
      <c r="AD13" s="16">
        <v>0.5</v>
      </c>
      <c r="AE13" s="16">
        <v>1</v>
      </c>
      <c r="AF13" s="16">
        <v>1</v>
      </c>
      <c r="AG13" s="16">
        <v>-0.5</v>
      </c>
      <c r="AH13" s="17">
        <v>0.99678460283573644</v>
      </c>
    </row>
    <row r="14" spans="1:35" x14ac:dyDescent="0.25">
      <c r="A14">
        <v>1</v>
      </c>
      <c r="B14">
        <v>0.5</v>
      </c>
      <c r="C14">
        <v>1</v>
      </c>
      <c r="D14">
        <v>0.97545455282533577</v>
      </c>
      <c r="F14">
        <v>1</v>
      </c>
      <c r="G14">
        <v>-0.5</v>
      </c>
      <c r="H14">
        <v>1</v>
      </c>
      <c r="I14">
        <v>0.9416676827609064</v>
      </c>
      <c r="M14" s="18">
        <v>1</v>
      </c>
      <c r="N14" s="19">
        <v>-0.5</v>
      </c>
      <c r="O14" s="19">
        <v>-0.5</v>
      </c>
      <c r="P14" s="20">
        <v>0.43033859671389352</v>
      </c>
      <c r="S14" s="18">
        <v>1</v>
      </c>
      <c r="T14" s="19">
        <v>0</v>
      </c>
      <c r="U14" s="19">
        <v>0.5</v>
      </c>
      <c r="V14" s="20">
        <v>0.81667822860072792</v>
      </c>
      <c r="Y14" s="18">
        <v>1</v>
      </c>
      <c r="Z14" s="19">
        <v>0</v>
      </c>
      <c r="AA14" s="19">
        <v>-0.5</v>
      </c>
      <c r="AB14" s="19">
        <v>-0.5</v>
      </c>
      <c r="AC14" s="19">
        <v>1</v>
      </c>
      <c r="AD14" s="19">
        <v>0</v>
      </c>
      <c r="AE14" s="19">
        <v>1</v>
      </c>
      <c r="AF14" s="19">
        <v>0.5</v>
      </c>
      <c r="AG14" s="19">
        <v>-0.5</v>
      </c>
      <c r="AH14" s="20">
        <v>0.90591462322950167</v>
      </c>
    </row>
    <row r="15" spans="1:35" x14ac:dyDescent="0.25">
      <c r="A15">
        <v>0</v>
      </c>
      <c r="B15">
        <v>0</v>
      </c>
      <c r="C15">
        <v>0</v>
      </c>
      <c r="D15">
        <v>0.58791928874935662</v>
      </c>
      <c r="F15">
        <v>0</v>
      </c>
      <c r="G15">
        <v>-0.5</v>
      </c>
      <c r="H15">
        <v>0</v>
      </c>
      <c r="I15">
        <v>0.67703642037575862</v>
      </c>
      <c r="M15" s="18">
        <v>1</v>
      </c>
      <c r="N15" s="19">
        <v>-0.5</v>
      </c>
      <c r="O15" s="19">
        <v>0</v>
      </c>
      <c r="P15" s="20">
        <v>0.67703642037575862</v>
      </c>
      <c r="S15" s="18">
        <v>1</v>
      </c>
      <c r="T15" s="19">
        <v>-0.5</v>
      </c>
      <c r="U15" s="19">
        <v>0.5</v>
      </c>
      <c r="V15" s="20">
        <v>0.6092734249154439</v>
      </c>
      <c r="Y15" s="18">
        <v>1</v>
      </c>
      <c r="Z15" s="19">
        <v>-0.5</v>
      </c>
      <c r="AA15" s="19">
        <v>0</v>
      </c>
      <c r="AB15" s="19">
        <v>0</v>
      </c>
      <c r="AC15" s="19">
        <v>0</v>
      </c>
      <c r="AD15" s="19">
        <v>-0.5</v>
      </c>
      <c r="AE15" s="19">
        <v>0.5</v>
      </c>
      <c r="AF15" s="19">
        <v>0.5</v>
      </c>
      <c r="AG15" s="19">
        <v>0</v>
      </c>
      <c r="AH15" s="20">
        <v>0.57460488670192822</v>
      </c>
    </row>
    <row r="16" spans="1:35" x14ac:dyDescent="0.25">
      <c r="A16">
        <v>1</v>
      </c>
      <c r="B16">
        <v>0.5</v>
      </c>
      <c r="C16">
        <v>0</v>
      </c>
      <c r="D16">
        <v>0.80299408139221251</v>
      </c>
      <c r="F16">
        <v>1</v>
      </c>
      <c r="G16">
        <v>-0.5</v>
      </c>
      <c r="H16">
        <v>0</v>
      </c>
      <c r="I16">
        <v>0.67703642037575862</v>
      </c>
      <c r="M16" s="18">
        <v>1</v>
      </c>
      <c r="N16" s="19">
        <v>-0.5</v>
      </c>
      <c r="O16" s="19">
        <v>0</v>
      </c>
      <c r="P16" s="20">
        <v>0.67703642037575862</v>
      </c>
      <c r="S16" s="18">
        <v>1</v>
      </c>
      <c r="T16" s="19">
        <v>1</v>
      </c>
      <c r="U16" s="19">
        <v>-0.5</v>
      </c>
      <c r="V16" s="20">
        <v>0.78855294140196575</v>
      </c>
      <c r="Y16" s="18">
        <v>1</v>
      </c>
      <c r="Z16" s="19">
        <v>1</v>
      </c>
      <c r="AA16" s="19">
        <v>0.5</v>
      </c>
      <c r="AB16" s="19">
        <v>-1</v>
      </c>
      <c r="AC16" s="19">
        <v>1</v>
      </c>
      <c r="AD16" s="19">
        <v>1</v>
      </c>
      <c r="AE16" s="19">
        <v>1</v>
      </c>
      <c r="AF16" s="19">
        <v>-0.5</v>
      </c>
      <c r="AG16" s="19">
        <v>-0.5</v>
      </c>
      <c r="AH16" s="20">
        <v>0.87480212759388509</v>
      </c>
    </row>
    <row r="17" spans="1:34" x14ac:dyDescent="0.25">
      <c r="A17">
        <v>1</v>
      </c>
      <c r="B17">
        <v>-0.5</v>
      </c>
      <c r="C17">
        <v>0</v>
      </c>
      <c r="D17">
        <v>0.33306105467332148</v>
      </c>
      <c r="F17">
        <v>1</v>
      </c>
      <c r="G17">
        <v>0.5</v>
      </c>
      <c r="H17">
        <v>0</v>
      </c>
      <c r="I17">
        <v>0.1322968391606075</v>
      </c>
      <c r="M17" s="18">
        <v>1</v>
      </c>
      <c r="N17" s="19">
        <v>-0.5</v>
      </c>
      <c r="O17" s="19">
        <v>0</v>
      </c>
      <c r="P17" s="20">
        <v>0.67703642037575862</v>
      </c>
      <c r="S17" s="18">
        <v>1</v>
      </c>
      <c r="T17" s="19">
        <v>0</v>
      </c>
      <c r="U17" s="19">
        <v>0</v>
      </c>
      <c r="V17" s="20">
        <v>0.58791928874935662</v>
      </c>
      <c r="Y17" s="18">
        <v>1</v>
      </c>
      <c r="Z17" s="19">
        <v>0</v>
      </c>
      <c r="AA17" s="19">
        <v>0</v>
      </c>
      <c r="AB17" s="19">
        <v>-0.5</v>
      </c>
      <c r="AC17" s="19">
        <v>0</v>
      </c>
      <c r="AD17" s="19">
        <v>0</v>
      </c>
      <c r="AE17" s="19">
        <v>1</v>
      </c>
      <c r="AF17" s="19">
        <v>0</v>
      </c>
      <c r="AG17" s="19">
        <v>-0.5</v>
      </c>
      <c r="AH17" s="20">
        <v>0.51569494051569753</v>
      </c>
    </row>
    <row r="18" spans="1:34" x14ac:dyDescent="0.25">
      <c r="A18">
        <v>1</v>
      </c>
      <c r="B18">
        <v>0</v>
      </c>
      <c r="C18">
        <v>0.5</v>
      </c>
      <c r="D18">
        <v>0.81667822860072792</v>
      </c>
      <c r="F18">
        <v>1</v>
      </c>
      <c r="G18">
        <v>-1</v>
      </c>
      <c r="H18">
        <v>0.5</v>
      </c>
      <c r="I18">
        <v>0.95569470584033411</v>
      </c>
      <c r="M18" s="18">
        <v>1</v>
      </c>
      <c r="N18" s="19">
        <v>-0.5</v>
      </c>
      <c r="O18" s="19">
        <v>0</v>
      </c>
      <c r="P18" s="20">
        <v>0.67703642037575862</v>
      </c>
      <c r="S18" s="18">
        <v>1</v>
      </c>
      <c r="T18" s="19">
        <v>0</v>
      </c>
      <c r="U18" s="19">
        <v>-0.5</v>
      </c>
      <c r="V18" s="20">
        <v>0.31361741360056472</v>
      </c>
      <c r="Y18" s="18">
        <v>1</v>
      </c>
      <c r="Z18" s="19">
        <v>-0.5</v>
      </c>
      <c r="AA18" s="19">
        <v>-0.5</v>
      </c>
      <c r="AB18" s="19">
        <v>-1</v>
      </c>
      <c r="AC18" s="19">
        <v>0</v>
      </c>
      <c r="AD18" s="19">
        <v>0</v>
      </c>
      <c r="AE18" s="19">
        <v>0</v>
      </c>
      <c r="AF18" s="19">
        <v>-0.5</v>
      </c>
      <c r="AG18" s="19">
        <v>-1</v>
      </c>
      <c r="AH18" s="20">
        <v>0.1907493259151668</v>
      </c>
    </row>
    <row r="19" spans="1:34" x14ac:dyDescent="0.25">
      <c r="A19">
        <v>1</v>
      </c>
      <c r="B19">
        <v>0.5</v>
      </c>
      <c r="C19">
        <v>1</v>
      </c>
      <c r="D19">
        <v>0.97545455282533577</v>
      </c>
      <c r="F19">
        <v>1</v>
      </c>
      <c r="G19">
        <v>0</v>
      </c>
      <c r="H19">
        <v>1</v>
      </c>
      <c r="I19">
        <v>0.81320973842226452</v>
      </c>
      <c r="M19" s="18">
        <v>1</v>
      </c>
      <c r="N19" s="19">
        <v>-0.5</v>
      </c>
      <c r="O19" s="19">
        <v>0</v>
      </c>
      <c r="P19" s="20">
        <v>0.67703642037575862</v>
      </c>
      <c r="S19" s="18">
        <v>1</v>
      </c>
      <c r="T19" s="19">
        <v>0</v>
      </c>
      <c r="U19" s="19">
        <v>0</v>
      </c>
      <c r="V19" s="20">
        <v>0.58791928874935662</v>
      </c>
      <c r="Y19" s="18">
        <v>1</v>
      </c>
      <c r="Z19" s="19">
        <v>0</v>
      </c>
      <c r="AA19" s="19">
        <v>0</v>
      </c>
      <c r="AB19" s="19">
        <v>-0.5</v>
      </c>
      <c r="AC19" s="19">
        <v>0</v>
      </c>
      <c r="AD19" s="19">
        <v>0</v>
      </c>
      <c r="AE19" s="19">
        <v>0.5</v>
      </c>
      <c r="AF19" s="19">
        <v>0</v>
      </c>
      <c r="AG19" s="19">
        <v>0</v>
      </c>
      <c r="AH19" s="20">
        <v>0.36298186130248528</v>
      </c>
    </row>
    <row r="20" spans="1:34" x14ac:dyDescent="0.25">
      <c r="A20">
        <v>1</v>
      </c>
      <c r="B20">
        <v>0.5</v>
      </c>
      <c r="C20">
        <v>1</v>
      </c>
      <c r="D20">
        <v>0.97545455282533577</v>
      </c>
      <c r="F20">
        <v>1</v>
      </c>
      <c r="G20">
        <v>-0.5</v>
      </c>
      <c r="H20">
        <v>1</v>
      </c>
      <c r="I20">
        <v>0.9416676827609064</v>
      </c>
      <c r="M20" s="18">
        <v>1</v>
      </c>
      <c r="N20" s="19">
        <v>-1</v>
      </c>
      <c r="O20" s="19">
        <v>-0.5</v>
      </c>
      <c r="P20" s="20">
        <v>0.73692048668605348</v>
      </c>
      <c r="S20" s="18">
        <v>1</v>
      </c>
      <c r="T20" s="19">
        <v>0</v>
      </c>
      <c r="U20" s="19">
        <v>0.5</v>
      </c>
      <c r="V20" s="20">
        <v>0.81667822860072792</v>
      </c>
      <c r="Y20" s="18">
        <v>1</v>
      </c>
      <c r="Z20" s="19">
        <v>0.5</v>
      </c>
      <c r="AA20" s="19">
        <v>0</v>
      </c>
      <c r="AB20" s="19">
        <v>-0.5</v>
      </c>
      <c r="AC20" s="19">
        <v>0</v>
      </c>
      <c r="AD20" s="19">
        <v>0</v>
      </c>
      <c r="AE20" s="19">
        <v>0</v>
      </c>
      <c r="AF20" s="19">
        <v>0.5</v>
      </c>
      <c r="AG20" s="19">
        <v>0</v>
      </c>
      <c r="AH20" s="20">
        <v>0.8123719989380962</v>
      </c>
    </row>
    <row r="21" spans="1:34" x14ac:dyDescent="0.25">
      <c r="A21">
        <v>0</v>
      </c>
      <c r="B21">
        <v>0</v>
      </c>
      <c r="C21">
        <v>0.5</v>
      </c>
      <c r="D21">
        <v>0.81667822860072792</v>
      </c>
      <c r="F21">
        <v>0</v>
      </c>
      <c r="G21">
        <v>-0.5</v>
      </c>
      <c r="H21">
        <v>0.5</v>
      </c>
      <c r="I21">
        <v>0.85331493791427682</v>
      </c>
      <c r="M21" s="18">
        <v>1</v>
      </c>
      <c r="N21" s="19">
        <v>0</v>
      </c>
      <c r="O21" s="19">
        <v>1</v>
      </c>
      <c r="P21" s="20">
        <v>0.81320973842226452</v>
      </c>
      <c r="S21" s="18">
        <v>1</v>
      </c>
      <c r="T21" s="19">
        <v>0.5</v>
      </c>
      <c r="U21" s="19">
        <v>1</v>
      </c>
      <c r="V21" s="20">
        <v>0.97545455282533577</v>
      </c>
      <c r="Y21" s="18">
        <v>1</v>
      </c>
      <c r="Z21" s="19">
        <v>0</v>
      </c>
      <c r="AA21" s="19">
        <v>1</v>
      </c>
      <c r="AB21" s="19">
        <v>-0.5</v>
      </c>
      <c r="AC21" s="19">
        <v>1</v>
      </c>
      <c r="AD21" s="19">
        <v>0.5</v>
      </c>
      <c r="AE21" s="19">
        <v>-0.5</v>
      </c>
      <c r="AF21" s="19">
        <v>1</v>
      </c>
      <c r="AG21" s="19">
        <v>0.5</v>
      </c>
      <c r="AH21" s="20">
        <v>0.9992903842914056</v>
      </c>
    </row>
    <row r="22" spans="1:34" x14ac:dyDescent="0.25">
      <c r="A22">
        <v>1</v>
      </c>
      <c r="B22">
        <v>0</v>
      </c>
      <c r="C22">
        <v>1</v>
      </c>
      <c r="D22">
        <v>0.93293254882342302</v>
      </c>
      <c r="F22">
        <v>1</v>
      </c>
      <c r="G22">
        <v>0</v>
      </c>
      <c r="H22">
        <v>1</v>
      </c>
      <c r="I22">
        <v>0.81320973842226452</v>
      </c>
      <c r="M22" s="18">
        <v>1</v>
      </c>
      <c r="N22" s="19">
        <v>0</v>
      </c>
      <c r="O22" s="19">
        <v>1</v>
      </c>
      <c r="P22" s="20">
        <v>0.81320973842226452</v>
      </c>
      <c r="S22" s="18">
        <v>1</v>
      </c>
      <c r="T22" s="19">
        <v>0.5</v>
      </c>
      <c r="U22" s="19">
        <v>0</v>
      </c>
      <c r="V22" s="20">
        <v>0.80299408139221251</v>
      </c>
      <c r="Y22" s="18">
        <v>1</v>
      </c>
      <c r="Z22" s="19">
        <v>0.5</v>
      </c>
      <c r="AA22" s="19">
        <v>0</v>
      </c>
      <c r="AB22" s="19">
        <v>-0.5</v>
      </c>
      <c r="AC22" s="19">
        <v>1</v>
      </c>
      <c r="AD22" s="19">
        <v>0.5</v>
      </c>
      <c r="AE22" s="19">
        <v>0.5</v>
      </c>
      <c r="AF22" s="19">
        <v>0</v>
      </c>
      <c r="AG22" s="19">
        <v>0</v>
      </c>
      <c r="AH22" s="20">
        <v>0.72084488495659627</v>
      </c>
    </row>
    <row r="23" spans="1:34" x14ac:dyDescent="0.25">
      <c r="A23">
        <v>1</v>
      </c>
      <c r="B23">
        <v>0</v>
      </c>
      <c r="C23">
        <v>0</v>
      </c>
      <c r="D23">
        <v>0.58791928874935662</v>
      </c>
      <c r="F23">
        <v>1</v>
      </c>
      <c r="G23">
        <v>-0.5</v>
      </c>
      <c r="H23">
        <v>0</v>
      </c>
      <c r="I23">
        <v>0.67703642037575862</v>
      </c>
      <c r="M23" s="18">
        <v>1</v>
      </c>
      <c r="N23" s="19">
        <v>-0.5</v>
      </c>
      <c r="O23" s="19">
        <v>0.5</v>
      </c>
      <c r="P23" s="20">
        <v>0.85331493791427682</v>
      </c>
      <c r="S23" s="18">
        <v>1</v>
      </c>
      <c r="T23" s="19">
        <v>-0.5</v>
      </c>
      <c r="U23" s="19">
        <v>0</v>
      </c>
      <c r="V23" s="20">
        <v>0.33306105467332148</v>
      </c>
      <c r="Y23" s="18">
        <v>1</v>
      </c>
      <c r="Z23" s="19">
        <v>0</v>
      </c>
      <c r="AA23" s="19">
        <v>0</v>
      </c>
      <c r="AB23" s="19">
        <v>-1</v>
      </c>
      <c r="AC23" s="19">
        <v>0.5</v>
      </c>
      <c r="AD23" s="19">
        <v>-0.5</v>
      </c>
      <c r="AE23" s="19">
        <v>0</v>
      </c>
      <c r="AF23" s="19">
        <v>0</v>
      </c>
      <c r="AG23" s="19">
        <v>0</v>
      </c>
      <c r="AH23" s="20">
        <v>0.68774105270749575</v>
      </c>
    </row>
    <row r="24" spans="1:34" x14ac:dyDescent="0.25">
      <c r="A24">
        <v>0</v>
      </c>
      <c r="B24">
        <v>0</v>
      </c>
      <c r="C24">
        <v>0</v>
      </c>
      <c r="D24">
        <v>0.58791928874935662</v>
      </c>
      <c r="F24">
        <v>0</v>
      </c>
      <c r="G24">
        <v>0</v>
      </c>
      <c r="H24">
        <v>0</v>
      </c>
      <c r="I24">
        <v>0.36116575984677762</v>
      </c>
      <c r="M24" s="18">
        <v>1</v>
      </c>
      <c r="N24" s="19">
        <v>-0.5</v>
      </c>
      <c r="O24" s="19">
        <v>0.5</v>
      </c>
      <c r="P24" s="20">
        <v>0.85331493791427682</v>
      </c>
      <c r="S24" s="18">
        <v>1</v>
      </c>
      <c r="T24" s="19">
        <v>0</v>
      </c>
      <c r="U24" s="19">
        <v>0.5</v>
      </c>
      <c r="V24" s="20">
        <v>0.81667822860072792</v>
      </c>
      <c r="Y24" s="18">
        <v>1</v>
      </c>
      <c r="Z24" s="19">
        <v>1</v>
      </c>
      <c r="AA24" s="19">
        <v>0</v>
      </c>
      <c r="AB24" s="19">
        <v>-0.5</v>
      </c>
      <c r="AC24" s="19">
        <v>0.5</v>
      </c>
      <c r="AD24" s="19">
        <v>0</v>
      </c>
      <c r="AE24" s="19">
        <v>1</v>
      </c>
      <c r="AF24" s="19">
        <v>0.5</v>
      </c>
      <c r="AG24" s="19">
        <v>-1</v>
      </c>
      <c r="AH24" s="20">
        <v>0.96148984253271741</v>
      </c>
    </row>
    <row r="25" spans="1:34" x14ac:dyDescent="0.25">
      <c r="A25">
        <v>1</v>
      </c>
      <c r="B25">
        <v>0</v>
      </c>
      <c r="C25">
        <v>1</v>
      </c>
      <c r="D25">
        <v>0.93293254882342302</v>
      </c>
      <c r="F25">
        <v>1</v>
      </c>
      <c r="G25">
        <v>-1</v>
      </c>
      <c r="H25">
        <v>1</v>
      </c>
      <c r="I25">
        <v>0.98356854217053835</v>
      </c>
      <c r="M25" s="18">
        <v>1</v>
      </c>
      <c r="N25" s="19">
        <v>-0.5</v>
      </c>
      <c r="O25" s="19">
        <v>1</v>
      </c>
      <c r="P25" s="20">
        <v>0.9416676827609064</v>
      </c>
      <c r="S25" s="18">
        <v>1</v>
      </c>
      <c r="T25" s="19">
        <v>0.5</v>
      </c>
      <c r="U25" s="19">
        <v>1</v>
      </c>
      <c r="V25" s="20">
        <v>0.97545455282533577</v>
      </c>
      <c r="Y25" s="18">
        <v>1</v>
      </c>
      <c r="Z25" s="19">
        <v>0.5</v>
      </c>
      <c r="AA25" s="19">
        <v>0.5</v>
      </c>
      <c r="AB25" s="19">
        <v>-0.5</v>
      </c>
      <c r="AC25" s="19">
        <v>0.5</v>
      </c>
      <c r="AD25" s="19">
        <v>0.5</v>
      </c>
      <c r="AE25" s="19">
        <v>0</v>
      </c>
      <c r="AF25" s="19">
        <v>1</v>
      </c>
      <c r="AG25" s="19">
        <v>-0.5</v>
      </c>
      <c r="AH25" s="20">
        <v>0.99850155584586497</v>
      </c>
    </row>
    <row r="26" spans="1:34" x14ac:dyDescent="0.25">
      <c r="A26">
        <v>0</v>
      </c>
      <c r="B26">
        <v>-0.5</v>
      </c>
      <c r="C26">
        <v>0</v>
      </c>
      <c r="D26">
        <v>0.33306105467332148</v>
      </c>
      <c r="F26">
        <v>0</v>
      </c>
      <c r="G26">
        <v>-0.5</v>
      </c>
      <c r="H26">
        <v>0</v>
      </c>
      <c r="I26">
        <v>0.67703642037575862</v>
      </c>
      <c r="M26" s="18">
        <v>1</v>
      </c>
      <c r="N26" s="19">
        <v>-0.5</v>
      </c>
      <c r="O26" s="19">
        <v>1</v>
      </c>
      <c r="P26" s="20">
        <v>0.9416676827609064</v>
      </c>
      <c r="S26" s="18">
        <v>1</v>
      </c>
      <c r="T26" s="19">
        <v>0.5</v>
      </c>
      <c r="U26" s="19">
        <v>1</v>
      </c>
      <c r="V26" s="20">
        <v>0.97545455282533577</v>
      </c>
      <c r="Y26" s="18">
        <v>1</v>
      </c>
      <c r="Z26" s="19">
        <v>0</v>
      </c>
      <c r="AA26" s="19">
        <v>0</v>
      </c>
      <c r="AB26" s="19">
        <v>0</v>
      </c>
      <c r="AC26" s="19">
        <v>0.5</v>
      </c>
      <c r="AD26" s="19">
        <v>0.5</v>
      </c>
      <c r="AE26" s="19">
        <v>0.5</v>
      </c>
      <c r="AF26" s="19">
        <v>1</v>
      </c>
      <c r="AG26" s="19">
        <v>-0.5</v>
      </c>
      <c r="AH26" s="20">
        <v>0.98701678065624421</v>
      </c>
    </row>
    <row r="27" spans="1:34" x14ac:dyDescent="0.25">
      <c r="A27">
        <v>1</v>
      </c>
      <c r="B27">
        <v>0</v>
      </c>
      <c r="C27">
        <v>0.5</v>
      </c>
      <c r="D27">
        <v>0.81667822860072792</v>
      </c>
      <c r="F27">
        <v>1</v>
      </c>
      <c r="G27">
        <v>-0.5</v>
      </c>
      <c r="H27">
        <v>0.5</v>
      </c>
      <c r="I27">
        <v>0.85331493791427682</v>
      </c>
      <c r="M27" s="18">
        <v>1</v>
      </c>
      <c r="N27" s="19">
        <v>-1</v>
      </c>
      <c r="O27" s="19">
        <v>0.5</v>
      </c>
      <c r="P27" s="20">
        <v>0.95569470584033411</v>
      </c>
      <c r="S27" s="18">
        <v>1</v>
      </c>
      <c r="T27" s="19">
        <v>0</v>
      </c>
      <c r="U27" s="19">
        <v>1</v>
      </c>
      <c r="V27" s="20">
        <v>0.93293254882342302</v>
      </c>
      <c r="Y27" s="18">
        <v>1</v>
      </c>
      <c r="Z27" s="19">
        <v>1</v>
      </c>
      <c r="AA27" s="19">
        <v>0</v>
      </c>
      <c r="AB27" s="19">
        <v>-0.5</v>
      </c>
      <c r="AC27" s="19">
        <v>0.5</v>
      </c>
      <c r="AD27" s="19">
        <v>0</v>
      </c>
      <c r="AE27" s="19">
        <v>0.5</v>
      </c>
      <c r="AF27" s="19">
        <v>1</v>
      </c>
      <c r="AG27" s="19">
        <v>1</v>
      </c>
      <c r="AH27" s="20">
        <v>0.94363070823119621</v>
      </c>
    </row>
    <row r="28" spans="1:34" x14ac:dyDescent="0.25">
      <c r="A28">
        <v>1</v>
      </c>
      <c r="B28">
        <v>0.5</v>
      </c>
      <c r="C28">
        <v>0.5</v>
      </c>
      <c r="D28">
        <v>0.92715219820400596</v>
      </c>
      <c r="F28">
        <v>1</v>
      </c>
      <c r="G28">
        <v>-1</v>
      </c>
      <c r="H28">
        <v>0.5</v>
      </c>
      <c r="I28">
        <v>0.95569470584033411</v>
      </c>
      <c r="M28" s="18">
        <v>1</v>
      </c>
      <c r="N28" s="19">
        <v>-1</v>
      </c>
      <c r="O28" s="19">
        <v>0.5</v>
      </c>
      <c r="P28" s="20">
        <v>0.95569470584033411</v>
      </c>
      <c r="S28" s="18">
        <v>1</v>
      </c>
      <c r="T28" s="19">
        <v>0</v>
      </c>
      <c r="U28" s="19">
        <v>0</v>
      </c>
      <c r="V28" s="20">
        <v>0.58791928874935662</v>
      </c>
      <c r="Y28" s="18">
        <v>1</v>
      </c>
      <c r="Z28" s="19">
        <v>0.5</v>
      </c>
      <c r="AA28" s="19">
        <v>0</v>
      </c>
      <c r="AB28" s="19">
        <v>-1</v>
      </c>
      <c r="AC28" s="19">
        <v>0.5</v>
      </c>
      <c r="AD28" s="19">
        <v>0</v>
      </c>
      <c r="AE28" s="19">
        <v>0</v>
      </c>
      <c r="AF28" s="19">
        <v>0</v>
      </c>
      <c r="AG28" s="19">
        <v>-1</v>
      </c>
      <c r="AH28" s="20">
        <v>0.90895343904793324</v>
      </c>
    </row>
    <row r="29" spans="1:34" x14ac:dyDescent="0.25">
      <c r="A29">
        <v>1</v>
      </c>
      <c r="B29">
        <v>0</v>
      </c>
      <c r="C29">
        <v>0</v>
      </c>
      <c r="D29">
        <v>0.58791928874935662</v>
      </c>
      <c r="F29">
        <v>1</v>
      </c>
      <c r="G29">
        <v>-0.5</v>
      </c>
      <c r="H29">
        <v>0</v>
      </c>
      <c r="I29">
        <v>0.67703642037575862</v>
      </c>
      <c r="M29" s="18">
        <v>1</v>
      </c>
      <c r="N29" s="19">
        <v>-1</v>
      </c>
      <c r="O29" s="19">
        <v>0.5</v>
      </c>
      <c r="P29" s="20">
        <v>0.95569470584033411</v>
      </c>
      <c r="S29" s="18">
        <v>1</v>
      </c>
      <c r="T29" s="19">
        <v>0</v>
      </c>
      <c r="U29" s="19">
        <v>1</v>
      </c>
      <c r="V29" s="20">
        <v>0.93293254882342302</v>
      </c>
      <c r="Y29" s="18">
        <v>1</v>
      </c>
      <c r="Z29" s="19">
        <v>-1</v>
      </c>
      <c r="AA29" s="19">
        <v>-0.5</v>
      </c>
      <c r="AB29" s="19">
        <v>1</v>
      </c>
      <c r="AC29" s="19">
        <v>0.5</v>
      </c>
      <c r="AD29" s="19">
        <v>0</v>
      </c>
      <c r="AE29" s="19">
        <v>0</v>
      </c>
      <c r="AF29" s="19">
        <v>1</v>
      </c>
      <c r="AG29" s="19">
        <v>-0.5</v>
      </c>
      <c r="AH29" s="20">
        <v>0.71204862497022947</v>
      </c>
    </row>
    <row r="30" spans="1:34" x14ac:dyDescent="0.25">
      <c r="A30">
        <v>0</v>
      </c>
      <c r="B30">
        <v>-1</v>
      </c>
      <c r="C30">
        <v>-0.5</v>
      </c>
      <c r="D30">
        <v>5.3013029086728648E-2</v>
      </c>
      <c r="F30">
        <v>0</v>
      </c>
      <c r="G30">
        <v>0</v>
      </c>
      <c r="H30">
        <v>-0.5</v>
      </c>
      <c r="I30">
        <v>0.16924840716025691</v>
      </c>
      <c r="M30" s="18">
        <v>1</v>
      </c>
      <c r="N30" s="19">
        <v>-1</v>
      </c>
      <c r="O30" s="19">
        <v>0.5</v>
      </c>
      <c r="P30" s="20">
        <v>0.95569470584033411</v>
      </c>
      <c r="S30" s="18">
        <v>1</v>
      </c>
      <c r="T30" s="19">
        <v>0</v>
      </c>
      <c r="U30" s="19">
        <v>0.5</v>
      </c>
      <c r="V30" s="20">
        <v>0.81667822860072792</v>
      </c>
      <c r="Y30" s="18">
        <v>1</v>
      </c>
      <c r="Z30" s="19">
        <v>0</v>
      </c>
      <c r="AA30" s="19">
        <v>0</v>
      </c>
      <c r="AB30" s="19">
        <v>-0.5</v>
      </c>
      <c r="AC30" s="19">
        <v>0</v>
      </c>
      <c r="AD30" s="19">
        <v>0</v>
      </c>
      <c r="AE30" s="19">
        <v>0</v>
      </c>
      <c r="AF30" s="19">
        <v>0.5</v>
      </c>
      <c r="AG30" s="19">
        <v>-0.5</v>
      </c>
      <c r="AH30" s="20">
        <v>0.90446080889252667</v>
      </c>
    </row>
    <row r="31" spans="1:34" x14ac:dyDescent="0.25">
      <c r="A31">
        <v>0</v>
      </c>
      <c r="B31">
        <v>-0.5</v>
      </c>
      <c r="C31">
        <v>0</v>
      </c>
      <c r="D31">
        <v>0.33306105467332148</v>
      </c>
      <c r="F31">
        <v>0</v>
      </c>
      <c r="G31">
        <v>0.5</v>
      </c>
      <c r="H31">
        <v>0</v>
      </c>
      <c r="I31">
        <v>0.1322968391606075</v>
      </c>
      <c r="M31" s="18">
        <v>1</v>
      </c>
      <c r="N31" s="19">
        <v>-1</v>
      </c>
      <c r="O31" s="19">
        <v>1</v>
      </c>
      <c r="P31" s="20">
        <v>0.98356854217053835</v>
      </c>
      <c r="S31" s="18">
        <v>1</v>
      </c>
      <c r="T31" s="19">
        <v>0.5</v>
      </c>
      <c r="U31" s="19">
        <v>0.5</v>
      </c>
      <c r="V31" s="20">
        <v>0.92715219820400596</v>
      </c>
      <c r="Y31" s="18">
        <v>1</v>
      </c>
      <c r="Z31" s="19">
        <v>0.5</v>
      </c>
      <c r="AA31" s="19">
        <v>1</v>
      </c>
      <c r="AB31" s="19">
        <v>1</v>
      </c>
      <c r="AC31" s="19">
        <v>0.5</v>
      </c>
      <c r="AD31" s="19">
        <v>0.5</v>
      </c>
      <c r="AE31" s="19">
        <v>-0.5</v>
      </c>
      <c r="AF31" s="19">
        <v>0.5</v>
      </c>
      <c r="AG31" s="19">
        <v>-0.5</v>
      </c>
      <c r="AH31" s="20">
        <v>0.91813529615907163</v>
      </c>
    </row>
    <row r="32" spans="1:34" ht="15.75" thickBot="1" x14ac:dyDescent="0.3">
      <c r="M32" s="21">
        <v>1</v>
      </c>
      <c r="N32" s="22">
        <v>-1</v>
      </c>
      <c r="O32" s="22">
        <v>1</v>
      </c>
      <c r="P32" s="23">
        <v>0.98356854217053835</v>
      </c>
      <c r="S32" s="21">
        <v>1</v>
      </c>
      <c r="T32" s="22">
        <v>0</v>
      </c>
      <c r="U32" s="22">
        <v>0</v>
      </c>
      <c r="V32" s="23">
        <v>0.58791928874935662</v>
      </c>
      <c r="Y32" s="21">
        <v>1</v>
      </c>
      <c r="Z32" s="22">
        <v>0</v>
      </c>
      <c r="AA32" s="22">
        <v>0</v>
      </c>
      <c r="AB32" s="22">
        <v>-1</v>
      </c>
      <c r="AC32" s="22">
        <v>0.5</v>
      </c>
      <c r="AD32" s="22">
        <v>0</v>
      </c>
      <c r="AE32" s="22">
        <v>0</v>
      </c>
      <c r="AF32" s="22">
        <v>0</v>
      </c>
      <c r="AG32" s="22">
        <v>-0.5</v>
      </c>
      <c r="AH32" s="23">
        <v>0.85805499107564642</v>
      </c>
    </row>
  </sheetData>
  <sortState xmlns:xlrd2="http://schemas.microsoft.com/office/spreadsheetml/2017/richdata2" ref="Y3:AH36">
    <sortCondition ref="Y1"/>
  </sortState>
  <conditionalFormatting sqref="N3:O1048576">
    <cfRule type="cellIs" dxfId="16" priority="3" operator="greaterThan">
      <formula>0</formula>
    </cfRule>
    <cfRule type="cellIs" dxfId="15" priority="4" operator="lessThan">
      <formula>0</formula>
    </cfRule>
  </conditionalFormatting>
  <conditionalFormatting sqref="T3:U1048576">
    <cfRule type="cellIs" dxfId="14" priority="1" operator="greaterThan">
      <formula>0</formula>
    </cfRule>
    <cfRule type="cellIs" dxfId="13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60C3-DB99-46DF-A23C-C28DD2EE4DC3}">
  <dimension ref="A1:CA37"/>
  <sheetViews>
    <sheetView topLeftCell="AE1" workbookViewId="0">
      <selection activeCell="AG3" sqref="AG3"/>
    </sheetView>
  </sheetViews>
  <sheetFormatPr baseColWidth="10" defaultColWidth="18.85546875" defaultRowHeight="15" x14ac:dyDescent="0.25"/>
  <cols>
    <col min="13" max="13" width="7.85546875" bestFit="1" customWidth="1"/>
    <col min="15" max="15" width="7.85546875" bestFit="1" customWidth="1"/>
    <col min="17" max="17" width="12.7109375" bestFit="1" customWidth="1"/>
    <col min="19" max="19" width="7.85546875" bestFit="1" customWidth="1"/>
    <col min="21" max="21" width="12.7109375" bestFit="1" customWidth="1"/>
    <col min="23" max="23" width="7.85546875" bestFit="1" customWidth="1"/>
    <col min="24" max="24" width="29.5703125" customWidth="1"/>
    <col min="25" max="25" width="10.28515625" bestFit="1" customWidth="1"/>
    <col min="27" max="27" width="12.7109375" bestFit="1" customWidth="1"/>
    <col min="29" max="29" width="9" style="3" bestFit="1" customWidth="1"/>
    <col min="31" max="31" width="12.7109375" bestFit="1" customWidth="1"/>
    <col min="33" max="33" width="10.28515625" bestFit="1" customWidth="1"/>
    <col min="35" max="35" width="7.85546875" bestFit="1" customWidth="1"/>
    <col min="37" max="37" width="12.7109375" bestFit="1" customWidth="1"/>
    <col min="39" max="39" width="7.85546875" bestFit="1" customWidth="1"/>
    <col min="40" max="40" width="25.5703125" customWidth="1"/>
    <col min="41" max="41" width="12" bestFit="1" customWidth="1"/>
    <col min="43" max="43" width="7.85546875" bestFit="1" customWidth="1"/>
    <col min="45" max="45" width="12" bestFit="1" customWidth="1"/>
    <col min="47" max="47" width="12" bestFit="1" customWidth="1"/>
    <col min="48" max="48" width="12.7109375" bestFit="1" customWidth="1"/>
    <col min="76" max="76" width="65.28515625" bestFit="1" customWidth="1"/>
    <col min="77" max="77" width="70.28515625" bestFit="1" customWidth="1"/>
    <col min="78" max="78" width="61.85546875" bestFit="1" customWidth="1"/>
  </cols>
  <sheetData>
    <row r="1" spans="1:79" ht="15.75" thickBot="1" x14ac:dyDescent="0.3">
      <c r="L1" s="13" t="s">
        <v>138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139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spans="1:7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132</v>
      </c>
      <c r="L2" t="s">
        <v>25</v>
      </c>
      <c r="M2" s="1" t="s">
        <v>141</v>
      </c>
      <c r="N2" t="s">
        <v>10</v>
      </c>
      <c r="O2" s="1" t="s">
        <v>142</v>
      </c>
      <c r="P2" t="s">
        <v>12</v>
      </c>
      <c r="Q2" s="1" t="s">
        <v>143</v>
      </c>
      <c r="R2" t="s">
        <v>13</v>
      </c>
      <c r="S2" s="1" t="s">
        <v>144</v>
      </c>
      <c r="T2" t="s">
        <v>14</v>
      </c>
      <c r="U2" s="2" t="s">
        <v>145</v>
      </c>
      <c r="V2" t="s">
        <v>15</v>
      </c>
      <c r="W2" s="1" t="s">
        <v>146</v>
      </c>
      <c r="X2" t="s">
        <v>16</v>
      </c>
      <c r="Y2" s="2" t="s">
        <v>147</v>
      </c>
      <c r="Z2" t="s">
        <v>17</v>
      </c>
      <c r="AA2" s="1" t="s">
        <v>148</v>
      </c>
      <c r="AB2" s="2" t="s">
        <v>131</v>
      </c>
      <c r="AC2" s="4" t="s">
        <v>134</v>
      </c>
      <c r="AD2" t="s">
        <v>11</v>
      </c>
      <c r="AE2" s="1" t="s">
        <v>149</v>
      </c>
      <c r="AF2" t="s">
        <v>18</v>
      </c>
      <c r="AG2" s="8" t="s">
        <v>150</v>
      </c>
      <c r="AH2" t="s">
        <v>19</v>
      </c>
      <c r="AI2" s="1" t="s">
        <v>151</v>
      </c>
      <c r="AJ2" t="s">
        <v>20</v>
      </c>
      <c r="AK2" s="1" t="s">
        <v>152</v>
      </c>
      <c r="AL2" s="8" t="s">
        <v>21</v>
      </c>
      <c r="AM2" s="1" t="s">
        <v>153</v>
      </c>
      <c r="AN2" s="8" t="s">
        <v>22</v>
      </c>
      <c r="AO2" s="1" t="s">
        <v>154</v>
      </c>
      <c r="AP2" t="s">
        <v>23</v>
      </c>
      <c r="AQ2" s="1" t="s">
        <v>155</v>
      </c>
      <c r="AR2" t="s">
        <v>24</v>
      </c>
      <c r="AS2" s="1" t="s">
        <v>156</v>
      </c>
      <c r="AT2" t="s">
        <v>26</v>
      </c>
      <c r="AU2" s="1" t="s">
        <v>157</v>
      </c>
      <c r="AV2" s="2" t="s">
        <v>135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t="s">
        <v>38</v>
      </c>
      <c r="BI2" t="s">
        <v>39</v>
      </c>
      <c r="BJ2" t="s">
        <v>40</v>
      </c>
      <c r="BK2" t="s">
        <v>41</v>
      </c>
      <c r="BL2" t="s">
        <v>42</v>
      </c>
      <c r="BM2" t="s">
        <v>43</v>
      </c>
      <c r="BN2" t="s">
        <v>44</v>
      </c>
      <c r="BO2" t="s">
        <v>45</v>
      </c>
      <c r="BP2" t="s">
        <v>46</v>
      </c>
      <c r="BQ2" t="s">
        <v>47</v>
      </c>
      <c r="BR2" t="s">
        <v>48</v>
      </c>
      <c r="BS2" t="s">
        <v>49</v>
      </c>
      <c r="BT2" t="s">
        <v>50</v>
      </c>
      <c r="BU2" t="s">
        <v>51</v>
      </c>
      <c r="BV2" t="s">
        <v>52</v>
      </c>
      <c r="BW2" t="s">
        <v>53</v>
      </c>
      <c r="BX2" t="s">
        <v>54</v>
      </c>
      <c r="BY2" t="s">
        <v>55</v>
      </c>
      <c r="BZ2" t="s">
        <v>56</v>
      </c>
      <c r="CA2" t="s">
        <v>57</v>
      </c>
    </row>
    <row r="3" spans="1:79" x14ac:dyDescent="0.25">
      <c r="A3">
        <v>45547.897125914351</v>
      </c>
      <c r="B3" t="s">
        <v>58</v>
      </c>
      <c r="C3">
        <v>2002</v>
      </c>
      <c r="D3" t="s">
        <v>59</v>
      </c>
      <c r="E3" t="s">
        <v>60</v>
      </c>
      <c r="F3" t="s">
        <v>61</v>
      </c>
      <c r="G3" t="s">
        <v>61</v>
      </c>
      <c r="H3" t="s">
        <v>62</v>
      </c>
      <c r="I3" t="s">
        <v>63</v>
      </c>
      <c r="J3" t="s">
        <v>64</v>
      </c>
      <c r="K3" s="1" t="s">
        <v>132</v>
      </c>
      <c r="L3" t="s">
        <v>70</v>
      </c>
      <c r="M3">
        <f>IF(L3="Totalmente de Acuerdo",-1,IF(L3="Muy de Acuerdo",-0.66,IF(L3="Levemente de Acuerdo",-0.33,IF(L3="Levemente en Desacuerdo",0.33,IF(L3="Muy en Desacuerdo",0.66,IF(L3="Totalmente en Desacuerdo",1,"error"))))))</f>
        <v>1</v>
      </c>
      <c r="N3" t="s">
        <v>65</v>
      </c>
      <c r="O3">
        <f>IF(N3="Totalmente de Acuerdo",1,IF(N3="Muy de Acuerdo",0.66,IF(N3="Levemente de Acuerdo",0.33,IF(N3="Levemente en Desacuerdo",-0.33,IF(N3="Muy en Desacuerdo",-0.66,IF(N3="Totalmente en Desacuerdo",-1,"error"))))))</f>
        <v>0.33</v>
      </c>
      <c r="P3" t="s">
        <v>67</v>
      </c>
      <c r="Q3">
        <f>IF(P3="Totalmente de Acuerdo",-1,IF(P3="Muy de Acuerdo",-0.66,IF(P3="Levemente de Acuerdo",-0.33,IF(P3="Levemente en Desacuerdo",0.33,IF(P3="Muy en Desacuerdo",0.66,IF(P3="Totalmente en Desacuerdo",1,"error"))))))</f>
        <v>-0.66</v>
      </c>
      <c r="R3" t="s">
        <v>68</v>
      </c>
      <c r="S3">
        <f>IF(R3="Totalmente de Acuerdo",1,IF(R3="Muy de Acuerdo",0.66,IF(R3="Levemente de Acuerdo",0.33,IF(R3="Levemente en Desacuerdo",-0.33,IF(R3="Muy en Desacuerdo",-0.66,IF(R3="Totalmente en Desacuerdo",-1,"error"))))))</f>
        <v>1</v>
      </c>
      <c r="T3" t="s">
        <v>69</v>
      </c>
      <c r="U3">
        <f>IF(T3="Totalmente de Acuerdo",-1,IF(T3="Muy de Acuerdo",-0.66,IF(T3="Levemente de Acuerdo",-0.33,IF(T3="Levemente en Desacuerdo",0.33,IF(T3="Muy en Desacuerdo",0.66,IF(T3="Totalmente en Desacuerdo",1,"error"))))))</f>
        <v>0.66</v>
      </c>
      <c r="V3" t="s">
        <v>68</v>
      </c>
      <c r="W3">
        <f>IF(V3="Totalmente de Acuerdo",1,IF(V3="Muy de Acuerdo",0.66,IF(V3="Levemente de Acuerdo",0.33,IF(V3="Levemente en Desacuerdo",-0.33,IF(V3="Muy en Desacuerdo",-0.66,IF(V3="Totalmente en Desacuerdo",-1,"error"))))))</f>
        <v>1</v>
      </c>
      <c r="X3" t="s">
        <v>68</v>
      </c>
      <c r="Y3">
        <f>IF(X3="Totalmente de Acuerdo",1,IF(X3="Muy de Acuerdo",0.66,IF(X3="Levemente de Acuerdo",0.33,IF(X3="Levemente en Desacuerdo",-0.33,IF(X3="Muy en Desacuerdo",-0.66,IF(X3="Totalmente en Desacuerdo",-1,"error"))))))</f>
        <v>1</v>
      </c>
      <c r="Z3" t="s">
        <v>69</v>
      </c>
      <c r="AA3">
        <f>IF(Z3="Totalmente de Acuerdo",1,IF(Z3="Muy de Acuerdo",0.66,IF(Z3="Levemente en Acuerdo",0.33,IF(Z3="Levemente en Desacuerdo",-0.33,IF(Z3="Muy en Desacuerdo",-0.66,IF(Z3="Totalmente en Desacuerdo",-1,"error"))))))</f>
        <v>-0.66</v>
      </c>
      <c r="AB3" s="2">
        <f>+AA3+Y3+W3+U3+S3+Q3+O3+M3</f>
        <v>3.67</v>
      </c>
      <c r="AC3" s="5">
        <f t="shared" ref="AC3:AC34" si="0">+AB3*AB$36</f>
        <v>4.1287500000000001</v>
      </c>
      <c r="AD3" t="s">
        <v>66</v>
      </c>
      <c r="AE3">
        <f>IF(AD3="Totalmente de Acuerdo",1,IF(AD3="Muy de Acuerdo",0.66,IF(AD3="Levemente de Acuerdo",0.33,IF(AD3="Levemente en Desacuerdo",-0.33,IF(AD3="Muy en Desacuerdo",-0.66,IF(AD3="Totalmente en Desacuerdo",-1,"error"))))))</f>
        <v>-0.33</v>
      </c>
      <c r="AF3" t="s">
        <v>68</v>
      </c>
      <c r="AG3">
        <f>IF(AF3="Totalmente de Acuerdo",-1,IF(AF3="Muy de Acuerdo",-0.66,IF(AF3="Levemente de Acuerdo",-0.33,IF(AF3="Levemente en Desacuerdo",0.33,IF(AF3="Muy en Desacuerdo",0.66,IF(AF3="Totalmente en Desacuerdo",1,"error"))))))</f>
        <v>-1</v>
      </c>
      <c r="AH3" t="s">
        <v>66</v>
      </c>
      <c r="AI3">
        <f>IF(AH3="Totalmente de Acuerdo",1,IF(AH3="Muy de Acuerdo",0.66,IF(AH3="Levemente de Acuerdo",0.33,IF(AH3="Levemente en Desacuerdo",-0.33,IF(AH3="Muy en Desacuerdo",-0.66,IF(AH3="Totalmente en Desacuerdo",-1,"error"))))))</f>
        <v>-0.33</v>
      </c>
      <c r="AJ3" t="s">
        <v>66</v>
      </c>
      <c r="AK3">
        <f>IF(AJ3="Totalmente de Acuerdo",1,IF(AJ3="Muy de Acuerdo",0.66,IF(AJ3="Levemente de Acuerdo",0.33,IF(AJ3="Levemente en Desacuerdo",-0.33,IF(AJ3="Muy en Desacuerdo",-0.66,IF(AJ3="Totalmente en Desacuerdo",-1,"error"))))))</f>
        <v>-0.33</v>
      </c>
      <c r="AL3" t="s">
        <v>69</v>
      </c>
      <c r="AM3">
        <f>IF(AL3="Totalmente de Acuerdo",-1,IF(AL3="Muy de Acuerdo",-0.66,IF(AL3="Levemente de Acuerdo",-0.33,IF(AL3="Levemente en Desacuerdo",0.33,IF(AL3="Muy en Desacuerdo",0.66,IF(AL3="Totalmente en Desacuerdo",1,"error"))))))</f>
        <v>0.66</v>
      </c>
      <c r="AN3" t="s">
        <v>70</v>
      </c>
      <c r="AO3">
        <f>IF(AN3="Totalmente de Acuerdo",-1,IF(AN3="Muy de Acuerdo",-0.66,IF(AN3="Levemente de Acuerdo",-0.33,IF(AN3="Levemente en Desacuerdo",0.33,IF(AN3="Muy en Desacuerdo",0.66,IF(AN3="Totalmente en Desacuerdo",1,"error"))))))</f>
        <v>1</v>
      </c>
      <c r="AP3" t="s">
        <v>69</v>
      </c>
      <c r="AQ3">
        <f>IF(AP3="Totalmente de Acuerdo",-1,IF(AP3="Muy de Acuerdo",-0.66,IF(AP3="Levemente de Acuerdo",-0.33,IF(AP3="Levemente en Desacuerdo",0.33,IF(AP3="Muy en Desacuerdo",0.66,IF(AP3="Totalmente en Desacuerdo",1,"error"))))))</f>
        <v>0.66</v>
      </c>
      <c r="AR3" t="s">
        <v>68</v>
      </c>
      <c r="AS3">
        <f>IF(AR3="Totalmente de Acuerdo",1,IF(AR3="Muy de Acuerdo",0.66,IF(AR3="Levemente de Acuerdo",0.33,IF(AR3="Levemente en Desacuerdo",-0.33,IF(AR3="Muy en Desacuerdo",-0.66,IF(AR3="Totalmente en Desacuerdo",-1,"error"))))))</f>
        <v>1</v>
      </c>
      <c r="AT3" t="s">
        <v>70</v>
      </c>
      <c r="AU3">
        <f>IF(AT3="Totalmente de Acuerdo",-1,IF(AT3="Muy de Acuerdo",-0.66,IF(AT3="Levemente de Acuerdo",-0.33,IF(AT3="Levemente en Desacuerdo",0.33,IF(AT3="Muy en Desacuerdo",0.66,IF(AT3="Totalmente en Desacuerdo",1,"error"))))))</f>
        <v>1</v>
      </c>
      <c r="AV3" s="2">
        <f>AU3+AS3+AQ3+AO3+AM3+AK3+AI3+AG3+AE3</f>
        <v>2.33</v>
      </c>
      <c r="AW3" t="s">
        <v>68</v>
      </c>
      <c r="AX3" t="s">
        <v>69</v>
      </c>
      <c r="AY3" t="s">
        <v>70</v>
      </c>
      <c r="AZ3" t="s">
        <v>67</v>
      </c>
      <c r="BA3" t="s">
        <v>70</v>
      </c>
      <c r="BB3" t="s">
        <v>68</v>
      </c>
      <c r="BC3" t="s">
        <v>65</v>
      </c>
      <c r="BD3" t="s">
        <v>65</v>
      </c>
      <c r="BE3" t="s">
        <v>66</v>
      </c>
      <c r="BF3" t="s">
        <v>69</v>
      </c>
      <c r="BG3" t="s">
        <v>67</v>
      </c>
      <c r="BH3" t="s">
        <v>71</v>
      </c>
      <c r="BL3" t="s">
        <v>71</v>
      </c>
      <c r="BX3" t="s">
        <v>72</v>
      </c>
      <c r="BY3" t="s">
        <v>73</v>
      </c>
      <c r="BZ3" t="s">
        <v>73</v>
      </c>
    </row>
    <row r="4" spans="1:79" x14ac:dyDescent="0.25">
      <c r="A4">
        <v>45547.897613912035</v>
      </c>
      <c r="B4" t="s">
        <v>74</v>
      </c>
      <c r="C4">
        <v>1998</v>
      </c>
      <c r="D4" t="s">
        <v>75</v>
      </c>
      <c r="E4" t="s">
        <v>60</v>
      </c>
      <c r="F4" t="s">
        <v>76</v>
      </c>
      <c r="G4" t="s">
        <v>61</v>
      </c>
      <c r="H4" t="s">
        <v>62</v>
      </c>
      <c r="I4" t="s">
        <v>63</v>
      </c>
      <c r="J4" t="s">
        <v>77</v>
      </c>
      <c r="K4" s="1" t="s">
        <v>132</v>
      </c>
      <c r="L4" t="s">
        <v>65</v>
      </c>
      <c r="M4">
        <f t="shared" ref="M4:M32" si="1">IF(L4="Totalmente de Acuerdo",-1,IF(L4="Muy de Acuerdo",-0.66,IF(L4="Levemente de Acuerdo",-0.33,IF(L4="Levemente en Desacuerdo",0.33,IF(L4="Muy en Desacuerdo",0.66,IF(L4="Totalmente en Desacuerdo",1,"error"))))))</f>
        <v>-0.33</v>
      </c>
      <c r="N4" t="s">
        <v>69</v>
      </c>
      <c r="O4">
        <f t="shared" ref="O4:O32" si="2">IF(N4="Totalmente de Acuerdo",1,IF(N4="Muy de Acuerdo",0.66,IF(N4="Levemente de Acuerdo",0.33,IF(N4="Levemente en Desacuerdo",-0.33,IF(N4="Muy en Desacuerdo",-0.66,IF(N4="Totalmente en Desacuerdo",-1,"error"))))))</f>
        <v>-0.66</v>
      </c>
      <c r="P4" t="s">
        <v>68</v>
      </c>
      <c r="Q4">
        <f t="shared" ref="Q4:Q32" si="3">IF(P4="Totalmente de Acuerdo",-1,IF(P4="Muy de Acuerdo",-0.66,IF(P4="Levemente de Acuerdo",-0.33,IF(P4="Levemente en Desacuerdo",0.33,IF(P4="Muy en Desacuerdo",0.66,IF(P4="Totalmente en Desacuerdo",1,"error"))))))</f>
        <v>-1</v>
      </c>
      <c r="R4" t="s">
        <v>65</v>
      </c>
      <c r="S4">
        <f t="shared" ref="S4:S34" si="4">IF(R4="Totalmente de Acuerdo",1,IF(R4="Muy de Acuerdo",0.66,IF(R4="Levemente de Acuerdo",0.33,IF(R4="Levemente en Desacuerdo",-0.33,IF(R4="Muy en Desacuerdo",-0.66,IF(R4="Totalmente en Desacuerdo",-1,"error"))))))</f>
        <v>0.33</v>
      </c>
      <c r="T4" t="s">
        <v>66</v>
      </c>
      <c r="U4">
        <f t="shared" ref="U4:U32" si="5">IF(T4="Totalmente de Acuerdo",-1,IF(T4="Muy de Acuerdo",-0.66,IF(T4="Levemente de Acuerdo",-0.33,IF(T4="Levemente en Desacuerdo",0.33,IF(T4="Muy en Desacuerdo",0.66,IF(T4="Totalmente en Desacuerdo",1,"error"))))))</f>
        <v>0.33</v>
      </c>
      <c r="V4" t="s">
        <v>66</v>
      </c>
      <c r="W4">
        <f t="shared" ref="W4:W34" si="6">IF(V4="Totalmente de Acuerdo",1,IF(V4="Muy de Acuerdo",0.66,IF(V4="Levemente de Acuerdo",0.33,IF(V4="Levemente en Desacuerdo",-0.33,IF(V4="Muy en Desacuerdo",-0.66,IF(V4="Totalmente en Desacuerdo",-1,"error"))))))</f>
        <v>-0.33</v>
      </c>
      <c r="X4" t="s">
        <v>66</v>
      </c>
      <c r="Y4">
        <f t="shared" ref="Y4:Y34" si="7">IF(X4="Totalmente de Acuerdo",1,IF(X4="Muy de Acuerdo",0.66,IF(X4="Levemente de Acuerdo",0.33,IF(X4="Levemente en Desacuerdo",-0.33,IF(X4="Muy en Desacuerdo",-0.66,IF(X4="Totalmente en Desacuerdo",-1,"error"))))))</f>
        <v>-0.33</v>
      </c>
      <c r="Z4" t="s">
        <v>69</v>
      </c>
      <c r="AA4">
        <f t="shared" ref="AA4:AA34" si="8">IF(Z4="Totalmente de Acuerdo",1,IF(Z4="Muy de Acuerdo",0.66,IF(Z4="Levemente en Acuerdo",0.33,IF(Z4="Levemente en Desacuerdo",-0.33,IF(Z4="Muy en Desacuerdo",-0.66,IF(Z4="Totalmente en Desacuerdo",-1,"error"))))))</f>
        <v>-0.66</v>
      </c>
      <c r="AB4" s="2">
        <f t="shared" ref="AB4:AB32" si="9">+AA4+Y4+W4+U4+S4+Q4+O4+M4</f>
        <v>-2.65</v>
      </c>
      <c r="AC4" s="5">
        <f t="shared" si="0"/>
        <v>-2.9812499999999997</v>
      </c>
      <c r="AD4" t="s">
        <v>65</v>
      </c>
      <c r="AE4">
        <f t="shared" ref="AE4:AE32" si="10">IF(AD4="Totalmente de Acuerdo",1,IF(AD4="Muy de Acuerdo",0.66,IF(AD4="Levemente de Acuerdo",0.33,IF(AD4="Levemente en Desacuerdo",-0.33,IF(AD4="Muy en Desacuerdo",-0.66,IF(AD4="Totalmente en Desacuerdo",-1,"error"))))))</f>
        <v>0.33</v>
      </c>
      <c r="AF4" t="s">
        <v>65</v>
      </c>
      <c r="AG4">
        <f t="shared" ref="AG4:AG35" si="11">IF(AF4="Totalmente de Acuerdo",-1,IF(AF4="Muy de Acuerdo",-0.66,IF(AF4="Levemente de Acuerdo",-0.33,IF(AF4="Levemente en Desacuerdo",0.33,IF(AF4="Muy en Desacuerdo",0.66,IF(AF4="Totalmente en Desacuerdo",1,"error"))))))</f>
        <v>-0.33</v>
      </c>
      <c r="AH4" t="s">
        <v>70</v>
      </c>
      <c r="AI4">
        <f t="shared" ref="AI4:AI32" si="12">IF(AH4="Totalmente de Acuerdo",1,IF(AH4="Muy de Acuerdo",0.66,IF(AH4="Levemente de Acuerdo",0.33,IF(AH4="Levemente en Desacuerdo",-0.33,IF(AH4="Muy en Desacuerdo",-0.66,IF(AH4="Totalmente en Desacuerdo",-1,"error"))))))</f>
        <v>-1</v>
      </c>
      <c r="AJ4" t="s">
        <v>70</v>
      </c>
      <c r="AK4">
        <f t="shared" ref="AK4:AK32" si="13">IF(AJ4="Totalmente de Acuerdo",1,IF(AJ4="Muy de Acuerdo",0.66,IF(AJ4="Levemente de Acuerdo",0.33,IF(AJ4="Levemente en Desacuerdo",-0.33,IF(AJ4="Muy en Desacuerdo",-0.66,IF(AJ4="Totalmente en Desacuerdo",-1,"error"))))))</f>
        <v>-1</v>
      </c>
      <c r="AL4" t="s">
        <v>67</v>
      </c>
      <c r="AM4">
        <f t="shared" ref="AM4:AM32" si="14">IF(AL4="Totalmente de Acuerdo",-1,IF(AL4="Muy de Acuerdo",-0.66,IF(AL4="Levemente de Acuerdo",-0.33,IF(AL4="Levemente en Desacuerdo",0.33,IF(AL4="Muy en Desacuerdo",0.66,IF(AL4="Totalmente en Desacuerdo",1,"error"))))))</f>
        <v>-0.66</v>
      </c>
      <c r="AN4" t="s">
        <v>67</v>
      </c>
      <c r="AO4">
        <f t="shared" ref="AO4:AO32" si="15">IF(AN4="Totalmente de Acuerdo",-1,IF(AN4="Muy de Acuerdo",-0.66,IF(AN4="Levemente de Acuerdo",-0.33,IF(AN4="Levemente en Desacuerdo",0.33,IF(AN4="Muy en Desacuerdo",0.66,IF(AN4="Totalmente en Desacuerdo",1,"error"))))))</f>
        <v>-0.66</v>
      </c>
      <c r="AP4" t="s">
        <v>67</v>
      </c>
      <c r="AQ4">
        <f t="shared" ref="AQ4:AQ32" si="16">IF(AP4="Totalmente de Acuerdo",-1,IF(AP4="Muy de Acuerdo",-0.66,IF(AP4="Levemente de Acuerdo",-0.33,IF(AP4="Levemente en Desacuerdo",0.33,IF(AP4="Muy en Desacuerdo",0.66,IF(AP4="Totalmente en Desacuerdo",1,"error"))))))</f>
        <v>-0.66</v>
      </c>
      <c r="AR4" t="s">
        <v>70</v>
      </c>
      <c r="AS4">
        <f t="shared" ref="AS4:AS32" si="17">IF(AR4="Totalmente de Acuerdo",1,IF(AR4="Muy de Acuerdo",0.66,IF(AR4="Levemente de Acuerdo",0.33,IF(AR4="Levemente en Desacuerdo",-0.33,IF(AR4="Muy en Desacuerdo",-0.66,IF(AR4="Totalmente en Desacuerdo",-1,"error"))))))</f>
        <v>-1</v>
      </c>
      <c r="AT4" t="s">
        <v>70</v>
      </c>
      <c r="AU4">
        <f t="shared" ref="AU4:AU32" si="18">IF(AT4="Totalmente de Acuerdo",-1,IF(AT4="Muy de Acuerdo",-0.66,IF(AT4="Levemente de Acuerdo",-0.33,IF(AT4="Levemente en Desacuerdo",0.33,IF(AT4="Muy en Desacuerdo",0.66,IF(AT4="Totalmente en Desacuerdo",1,"error"))))))</f>
        <v>1</v>
      </c>
      <c r="AV4" s="2">
        <f t="shared" ref="AV4:AV37" si="19">AU4+AS4+AQ4+AO4+AM4+AK4+AI4+AG4+AE4</f>
        <v>-3.9799999999999995</v>
      </c>
      <c r="AW4" t="s">
        <v>70</v>
      </c>
      <c r="AX4" t="s">
        <v>65</v>
      </c>
      <c r="AY4" t="s">
        <v>65</v>
      </c>
      <c r="AZ4" t="s">
        <v>65</v>
      </c>
      <c r="BA4" t="s">
        <v>66</v>
      </c>
      <c r="BB4" t="s">
        <v>69</v>
      </c>
      <c r="BC4" t="s">
        <v>69</v>
      </c>
      <c r="BD4" t="s">
        <v>66</v>
      </c>
      <c r="BE4" t="s">
        <v>66</v>
      </c>
      <c r="BF4" t="s">
        <v>67</v>
      </c>
      <c r="BG4" t="s">
        <v>65</v>
      </c>
      <c r="BJ4" t="s">
        <v>71</v>
      </c>
      <c r="BK4" t="s">
        <v>71</v>
      </c>
      <c r="BX4" t="s">
        <v>78</v>
      </c>
      <c r="BY4" t="s">
        <v>79</v>
      </c>
      <c r="BZ4" t="s">
        <v>79</v>
      </c>
    </row>
    <row r="5" spans="1:79" x14ac:dyDescent="0.25">
      <c r="A5">
        <v>45547.897886388891</v>
      </c>
      <c r="B5" t="s">
        <v>80</v>
      </c>
      <c r="C5">
        <v>2003</v>
      </c>
      <c r="D5" t="s">
        <v>81</v>
      </c>
      <c r="E5" t="s">
        <v>60</v>
      </c>
      <c r="F5" t="s">
        <v>61</v>
      </c>
      <c r="G5" t="s">
        <v>82</v>
      </c>
      <c r="H5" t="s">
        <v>83</v>
      </c>
      <c r="I5" t="s">
        <v>63</v>
      </c>
      <c r="J5" t="s">
        <v>64</v>
      </c>
      <c r="K5" s="1" t="s">
        <v>132</v>
      </c>
      <c r="L5" t="s">
        <v>66</v>
      </c>
      <c r="M5">
        <f t="shared" si="1"/>
        <v>0.33</v>
      </c>
      <c r="N5" t="s">
        <v>69</v>
      </c>
      <c r="O5">
        <f t="shared" si="2"/>
        <v>-0.66</v>
      </c>
      <c r="P5" t="s">
        <v>67</v>
      </c>
      <c r="Q5">
        <f t="shared" si="3"/>
        <v>-0.66</v>
      </c>
      <c r="R5" t="s">
        <v>68</v>
      </c>
      <c r="S5">
        <f t="shared" si="4"/>
        <v>1</v>
      </c>
      <c r="T5" t="s">
        <v>65</v>
      </c>
      <c r="U5">
        <f t="shared" si="5"/>
        <v>-0.33</v>
      </c>
      <c r="V5" t="s">
        <v>68</v>
      </c>
      <c r="W5">
        <f t="shared" si="6"/>
        <v>1</v>
      </c>
      <c r="X5" t="s">
        <v>67</v>
      </c>
      <c r="Y5">
        <f t="shared" si="7"/>
        <v>0.66</v>
      </c>
      <c r="Z5" t="s">
        <v>69</v>
      </c>
      <c r="AA5">
        <f t="shared" si="8"/>
        <v>-0.66</v>
      </c>
      <c r="AB5" s="2">
        <f t="shared" si="9"/>
        <v>0.67999999999999972</v>
      </c>
      <c r="AC5" s="5">
        <f t="shared" si="0"/>
        <v>0.76499999999999968</v>
      </c>
      <c r="AD5" t="s">
        <v>68</v>
      </c>
      <c r="AE5">
        <f t="shared" si="10"/>
        <v>1</v>
      </c>
      <c r="AF5" t="s">
        <v>68</v>
      </c>
      <c r="AG5">
        <f t="shared" si="11"/>
        <v>-1</v>
      </c>
      <c r="AH5" t="s">
        <v>65</v>
      </c>
      <c r="AI5">
        <f t="shared" si="12"/>
        <v>0.33</v>
      </c>
      <c r="AJ5" t="s">
        <v>70</v>
      </c>
      <c r="AK5">
        <f t="shared" si="13"/>
        <v>-1</v>
      </c>
      <c r="AL5" t="s">
        <v>66</v>
      </c>
      <c r="AM5">
        <f t="shared" si="14"/>
        <v>0.33</v>
      </c>
      <c r="AN5" t="s">
        <v>70</v>
      </c>
      <c r="AO5">
        <f t="shared" si="15"/>
        <v>1</v>
      </c>
      <c r="AP5" t="s">
        <v>70</v>
      </c>
      <c r="AQ5">
        <f t="shared" si="16"/>
        <v>1</v>
      </c>
      <c r="AR5" t="s">
        <v>66</v>
      </c>
      <c r="AS5">
        <f t="shared" si="17"/>
        <v>-0.33</v>
      </c>
      <c r="AT5" t="s">
        <v>69</v>
      </c>
      <c r="AU5">
        <f t="shared" si="18"/>
        <v>0.66</v>
      </c>
      <c r="AV5" s="2">
        <f>AU5+AS5+AQ5+AO5+AM5+AK5+AI5+AG5+AE5</f>
        <v>1.9900000000000002</v>
      </c>
      <c r="AW5" t="s">
        <v>66</v>
      </c>
      <c r="AX5" t="s">
        <v>67</v>
      </c>
      <c r="AY5" t="s">
        <v>70</v>
      </c>
      <c r="AZ5" t="s">
        <v>67</v>
      </c>
      <c r="BA5" t="s">
        <v>65</v>
      </c>
      <c r="BB5" t="s">
        <v>65</v>
      </c>
      <c r="BC5" t="s">
        <v>65</v>
      </c>
      <c r="BD5" t="s">
        <v>68</v>
      </c>
      <c r="BE5" t="s">
        <v>67</v>
      </c>
      <c r="BF5" t="s">
        <v>66</v>
      </c>
      <c r="BG5" t="s">
        <v>67</v>
      </c>
      <c r="BH5" t="s">
        <v>71</v>
      </c>
      <c r="BL5" t="s">
        <v>71</v>
      </c>
      <c r="BM5" t="s">
        <v>71</v>
      </c>
      <c r="BX5" t="s">
        <v>73</v>
      </c>
      <c r="BY5" t="s">
        <v>73</v>
      </c>
      <c r="BZ5" t="s">
        <v>73</v>
      </c>
    </row>
    <row r="6" spans="1:79" x14ac:dyDescent="0.25">
      <c r="A6">
        <v>45547.899384074073</v>
      </c>
      <c r="B6" t="s">
        <v>84</v>
      </c>
      <c r="C6">
        <v>2001</v>
      </c>
      <c r="D6" t="s">
        <v>59</v>
      </c>
      <c r="E6" t="s">
        <v>60</v>
      </c>
      <c r="F6" t="s">
        <v>76</v>
      </c>
      <c r="G6" t="s">
        <v>76</v>
      </c>
      <c r="H6" t="s">
        <v>83</v>
      </c>
      <c r="I6" t="s">
        <v>63</v>
      </c>
      <c r="J6" t="s">
        <v>64</v>
      </c>
      <c r="K6" s="1" t="s">
        <v>132</v>
      </c>
      <c r="L6" t="s">
        <v>67</v>
      </c>
      <c r="M6">
        <f t="shared" si="1"/>
        <v>-0.66</v>
      </c>
      <c r="N6" t="s">
        <v>65</v>
      </c>
      <c r="O6">
        <f t="shared" si="2"/>
        <v>0.33</v>
      </c>
      <c r="P6" t="s">
        <v>65</v>
      </c>
      <c r="Q6">
        <f t="shared" si="3"/>
        <v>-0.33</v>
      </c>
      <c r="R6" t="s">
        <v>65</v>
      </c>
      <c r="S6">
        <f t="shared" si="4"/>
        <v>0.33</v>
      </c>
      <c r="T6" t="s">
        <v>67</v>
      </c>
      <c r="U6">
        <f t="shared" si="5"/>
        <v>-0.66</v>
      </c>
      <c r="V6" t="s">
        <v>67</v>
      </c>
      <c r="W6">
        <f t="shared" si="6"/>
        <v>0.66</v>
      </c>
      <c r="X6" t="s">
        <v>67</v>
      </c>
      <c r="Y6">
        <f t="shared" si="7"/>
        <v>0.66</v>
      </c>
      <c r="Z6" t="s">
        <v>85</v>
      </c>
      <c r="AA6">
        <f t="shared" si="8"/>
        <v>0.33</v>
      </c>
      <c r="AB6" s="2">
        <f t="shared" si="9"/>
        <v>0.65999999999999981</v>
      </c>
      <c r="AC6" s="5">
        <f t="shared" si="0"/>
        <v>0.74249999999999983</v>
      </c>
      <c r="AD6" t="s">
        <v>65</v>
      </c>
      <c r="AE6">
        <f t="shared" si="10"/>
        <v>0.33</v>
      </c>
      <c r="AF6" t="s">
        <v>68</v>
      </c>
      <c r="AG6">
        <f t="shared" si="11"/>
        <v>-1</v>
      </c>
      <c r="AH6" t="s">
        <v>67</v>
      </c>
      <c r="AI6">
        <f t="shared" si="12"/>
        <v>0.66</v>
      </c>
      <c r="AJ6" t="s">
        <v>70</v>
      </c>
      <c r="AK6">
        <f t="shared" si="13"/>
        <v>-1</v>
      </c>
      <c r="AL6" t="s">
        <v>67</v>
      </c>
      <c r="AM6">
        <f t="shared" si="14"/>
        <v>-0.66</v>
      </c>
      <c r="AN6" t="s">
        <v>66</v>
      </c>
      <c r="AO6">
        <f t="shared" si="15"/>
        <v>0.33</v>
      </c>
      <c r="AP6" t="s">
        <v>66</v>
      </c>
      <c r="AQ6">
        <f t="shared" si="16"/>
        <v>0.33</v>
      </c>
      <c r="AR6" t="s">
        <v>67</v>
      </c>
      <c r="AS6">
        <f t="shared" si="17"/>
        <v>0.66</v>
      </c>
      <c r="AT6" t="s">
        <v>66</v>
      </c>
      <c r="AU6">
        <f t="shared" si="18"/>
        <v>0.33</v>
      </c>
      <c r="AV6" s="2">
        <f t="shared" si="19"/>
        <v>-1.9999999999999851E-2</v>
      </c>
      <c r="AW6" t="s">
        <v>65</v>
      </c>
      <c r="AX6" t="s">
        <v>65</v>
      </c>
      <c r="AY6" t="s">
        <v>66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67</v>
      </c>
      <c r="BF6" t="s">
        <v>67</v>
      </c>
      <c r="BG6" t="s">
        <v>67</v>
      </c>
      <c r="BM6" t="s">
        <v>71</v>
      </c>
      <c r="BX6" t="s">
        <v>73</v>
      </c>
      <c r="BY6" t="s">
        <v>73</v>
      </c>
      <c r="BZ6" t="s">
        <v>73</v>
      </c>
    </row>
    <row r="7" spans="1:79" x14ac:dyDescent="0.25">
      <c r="A7">
        <v>45547.89947956019</v>
      </c>
      <c r="B7" t="s">
        <v>86</v>
      </c>
      <c r="C7">
        <v>2000</v>
      </c>
      <c r="D7" t="s">
        <v>59</v>
      </c>
      <c r="E7" t="s">
        <v>60</v>
      </c>
      <c r="F7" t="s">
        <v>61</v>
      </c>
      <c r="G7" t="s">
        <v>76</v>
      </c>
      <c r="H7" t="s">
        <v>83</v>
      </c>
      <c r="I7" t="s">
        <v>63</v>
      </c>
      <c r="J7" t="s">
        <v>77</v>
      </c>
      <c r="K7" s="1" t="s">
        <v>132</v>
      </c>
      <c r="L7" t="s">
        <v>66</v>
      </c>
      <c r="M7">
        <f t="shared" si="1"/>
        <v>0.33</v>
      </c>
      <c r="N7" t="s">
        <v>66</v>
      </c>
      <c r="O7">
        <f t="shared" si="2"/>
        <v>-0.33</v>
      </c>
      <c r="P7" t="s">
        <v>67</v>
      </c>
      <c r="Q7">
        <f t="shared" si="3"/>
        <v>-0.66</v>
      </c>
      <c r="R7" t="s">
        <v>67</v>
      </c>
      <c r="S7">
        <f t="shared" si="4"/>
        <v>0.66</v>
      </c>
      <c r="T7" t="s">
        <v>65</v>
      </c>
      <c r="U7">
        <f t="shared" si="5"/>
        <v>-0.33</v>
      </c>
      <c r="V7" t="s">
        <v>66</v>
      </c>
      <c r="W7">
        <f t="shared" si="6"/>
        <v>-0.33</v>
      </c>
      <c r="X7" t="s">
        <v>65</v>
      </c>
      <c r="Y7">
        <f t="shared" si="7"/>
        <v>0.33</v>
      </c>
      <c r="Z7" t="s">
        <v>69</v>
      </c>
      <c r="AA7">
        <f t="shared" si="8"/>
        <v>-0.66</v>
      </c>
      <c r="AB7" s="2">
        <f t="shared" si="9"/>
        <v>-0.99</v>
      </c>
      <c r="AC7" s="5">
        <f t="shared" si="0"/>
        <v>-1.11375</v>
      </c>
      <c r="AD7" t="s">
        <v>69</v>
      </c>
      <c r="AE7">
        <f t="shared" si="10"/>
        <v>-0.66</v>
      </c>
      <c r="AF7" t="s">
        <v>66</v>
      </c>
      <c r="AG7">
        <f t="shared" si="11"/>
        <v>0.33</v>
      </c>
      <c r="AH7" t="s">
        <v>66</v>
      </c>
      <c r="AI7">
        <f t="shared" si="12"/>
        <v>-0.33</v>
      </c>
      <c r="AJ7" t="s">
        <v>70</v>
      </c>
      <c r="AK7">
        <f t="shared" si="13"/>
        <v>-1</v>
      </c>
      <c r="AL7" t="s">
        <v>67</v>
      </c>
      <c r="AM7">
        <f t="shared" si="14"/>
        <v>-0.66</v>
      </c>
      <c r="AN7" t="s">
        <v>65</v>
      </c>
      <c r="AO7">
        <f t="shared" si="15"/>
        <v>-0.33</v>
      </c>
      <c r="AP7" t="s">
        <v>69</v>
      </c>
      <c r="AQ7">
        <f t="shared" si="16"/>
        <v>0.66</v>
      </c>
      <c r="AR7" t="s">
        <v>67</v>
      </c>
      <c r="AS7">
        <f t="shared" si="17"/>
        <v>0.66</v>
      </c>
      <c r="AT7" t="s">
        <v>65</v>
      </c>
      <c r="AU7">
        <f t="shared" si="18"/>
        <v>-0.33</v>
      </c>
      <c r="AV7" s="2">
        <f t="shared" si="19"/>
        <v>-1.6600000000000001</v>
      </c>
      <c r="AW7" t="s">
        <v>66</v>
      </c>
      <c r="AX7" t="s">
        <v>67</v>
      </c>
      <c r="AY7" t="s">
        <v>69</v>
      </c>
      <c r="AZ7" t="s">
        <v>65</v>
      </c>
      <c r="BA7" t="s">
        <v>69</v>
      </c>
      <c r="BB7" t="s">
        <v>69</v>
      </c>
      <c r="BC7" t="s">
        <v>69</v>
      </c>
      <c r="BD7" t="s">
        <v>69</v>
      </c>
      <c r="BE7" t="s">
        <v>67</v>
      </c>
      <c r="BF7" t="s">
        <v>65</v>
      </c>
      <c r="BG7" t="s">
        <v>66</v>
      </c>
      <c r="BJ7" t="s">
        <v>71</v>
      </c>
      <c r="BX7" t="s">
        <v>87</v>
      </c>
      <c r="BY7" t="s">
        <v>79</v>
      </c>
      <c r="BZ7" t="s">
        <v>79</v>
      </c>
    </row>
    <row r="8" spans="1:79" x14ac:dyDescent="0.25">
      <c r="A8">
        <v>45547.899490775468</v>
      </c>
      <c r="B8" t="s">
        <v>88</v>
      </c>
      <c r="C8">
        <v>1997</v>
      </c>
      <c r="D8" t="s">
        <v>75</v>
      </c>
      <c r="E8" t="s">
        <v>60</v>
      </c>
      <c r="F8" t="s">
        <v>76</v>
      </c>
      <c r="G8" t="s">
        <v>61</v>
      </c>
      <c r="H8" t="s">
        <v>83</v>
      </c>
      <c r="I8" t="s">
        <v>89</v>
      </c>
      <c r="J8" t="s">
        <v>90</v>
      </c>
      <c r="K8" s="1" t="s">
        <v>132</v>
      </c>
      <c r="L8" t="s">
        <v>70</v>
      </c>
      <c r="M8">
        <f t="shared" si="1"/>
        <v>1</v>
      </c>
      <c r="N8" t="s">
        <v>67</v>
      </c>
      <c r="O8">
        <f t="shared" si="2"/>
        <v>0.66</v>
      </c>
      <c r="P8" t="s">
        <v>68</v>
      </c>
      <c r="Q8">
        <f t="shared" si="3"/>
        <v>-1</v>
      </c>
      <c r="R8" t="s">
        <v>68</v>
      </c>
      <c r="S8">
        <f t="shared" si="4"/>
        <v>1</v>
      </c>
      <c r="T8" t="s">
        <v>70</v>
      </c>
      <c r="U8">
        <f t="shared" si="5"/>
        <v>1</v>
      </c>
      <c r="V8" t="s">
        <v>68</v>
      </c>
      <c r="W8">
        <f t="shared" si="6"/>
        <v>1</v>
      </c>
      <c r="X8" t="s">
        <v>69</v>
      </c>
      <c r="Y8">
        <f t="shared" si="7"/>
        <v>-0.66</v>
      </c>
      <c r="Z8" t="s">
        <v>69</v>
      </c>
      <c r="AA8">
        <f t="shared" si="8"/>
        <v>-0.66</v>
      </c>
      <c r="AB8" s="2">
        <f t="shared" si="9"/>
        <v>2.34</v>
      </c>
      <c r="AC8" s="5">
        <f t="shared" si="0"/>
        <v>2.6324999999999998</v>
      </c>
      <c r="AD8" t="s">
        <v>70</v>
      </c>
      <c r="AE8">
        <f t="shared" si="10"/>
        <v>-1</v>
      </c>
      <c r="AF8" t="s">
        <v>68</v>
      </c>
      <c r="AG8">
        <f t="shared" si="11"/>
        <v>-1</v>
      </c>
      <c r="AH8" t="s">
        <v>69</v>
      </c>
      <c r="AI8">
        <f t="shared" si="12"/>
        <v>-0.66</v>
      </c>
      <c r="AJ8" t="s">
        <v>70</v>
      </c>
      <c r="AK8">
        <f t="shared" si="13"/>
        <v>-1</v>
      </c>
      <c r="AL8" t="s">
        <v>65</v>
      </c>
      <c r="AM8">
        <f t="shared" si="14"/>
        <v>-0.33</v>
      </c>
      <c r="AN8" t="s">
        <v>70</v>
      </c>
      <c r="AO8">
        <f t="shared" si="15"/>
        <v>1</v>
      </c>
      <c r="AP8" t="s">
        <v>68</v>
      </c>
      <c r="AQ8">
        <f t="shared" si="16"/>
        <v>-1</v>
      </c>
      <c r="AR8" t="s">
        <v>68</v>
      </c>
      <c r="AS8">
        <f t="shared" si="17"/>
        <v>1</v>
      </c>
      <c r="AT8" t="s">
        <v>70</v>
      </c>
      <c r="AU8">
        <f t="shared" si="18"/>
        <v>1</v>
      </c>
      <c r="AV8" s="2">
        <f t="shared" si="19"/>
        <v>-1.9900000000000002</v>
      </c>
      <c r="AW8" t="s">
        <v>68</v>
      </c>
      <c r="AX8" t="s">
        <v>67</v>
      </c>
      <c r="AY8" t="s">
        <v>70</v>
      </c>
      <c r="AZ8" t="s">
        <v>70</v>
      </c>
      <c r="BA8" t="s">
        <v>70</v>
      </c>
      <c r="BB8" t="s">
        <v>70</v>
      </c>
      <c r="BC8" t="s">
        <v>70</v>
      </c>
      <c r="BD8" t="s">
        <v>70</v>
      </c>
      <c r="BE8" t="s">
        <v>70</v>
      </c>
      <c r="BF8" t="s">
        <v>68</v>
      </c>
      <c r="BG8" t="s">
        <v>68</v>
      </c>
      <c r="BH8" t="s">
        <v>71</v>
      </c>
      <c r="BM8" t="s">
        <v>71</v>
      </c>
      <c r="BX8" t="s">
        <v>72</v>
      </c>
      <c r="BY8" t="s">
        <v>72</v>
      </c>
      <c r="BZ8" t="s">
        <v>73</v>
      </c>
    </row>
    <row r="9" spans="1:79" x14ac:dyDescent="0.25">
      <c r="A9">
        <v>45547.899888159722</v>
      </c>
      <c r="B9" t="s">
        <v>91</v>
      </c>
      <c r="C9">
        <v>2003</v>
      </c>
      <c r="D9" t="s">
        <v>59</v>
      </c>
      <c r="E9" t="s">
        <v>60</v>
      </c>
      <c r="F9" t="s">
        <v>92</v>
      </c>
      <c r="G9" t="s">
        <v>82</v>
      </c>
      <c r="H9" t="s">
        <v>93</v>
      </c>
      <c r="I9" t="s">
        <v>63</v>
      </c>
      <c r="J9" t="s">
        <v>64</v>
      </c>
      <c r="K9" s="1" t="s">
        <v>132</v>
      </c>
      <c r="L9" t="s">
        <v>65</v>
      </c>
      <c r="M9">
        <f t="shared" si="1"/>
        <v>-0.33</v>
      </c>
      <c r="N9" t="s">
        <v>65</v>
      </c>
      <c r="O9">
        <f t="shared" si="2"/>
        <v>0.33</v>
      </c>
      <c r="P9" t="s">
        <v>67</v>
      </c>
      <c r="Q9">
        <f t="shared" si="3"/>
        <v>-0.66</v>
      </c>
      <c r="R9" t="s">
        <v>65</v>
      </c>
      <c r="S9">
        <f t="shared" si="4"/>
        <v>0.33</v>
      </c>
      <c r="T9" t="s">
        <v>65</v>
      </c>
      <c r="U9">
        <f t="shared" si="5"/>
        <v>-0.33</v>
      </c>
      <c r="V9" t="s">
        <v>68</v>
      </c>
      <c r="W9">
        <f t="shared" si="6"/>
        <v>1</v>
      </c>
      <c r="X9" t="s">
        <v>65</v>
      </c>
      <c r="Y9">
        <f t="shared" si="7"/>
        <v>0.33</v>
      </c>
      <c r="Z9" t="s">
        <v>69</v>
      </c>
      <c r="AA9">
        <f t="shared" si="8"/>
        <v>-0.66</v>
      </c>
      <c r="AB9" s="2">
        <f t="shared" si="9"/>
        <v>9.9999999999998979E-3</v>
      </c>
      <c r="AC9" s="5">
        <f t="shared" si="0"/>
        <v>1.1249999999999885E-2</v>
      </c>
      <c r="AD9" t="s">
        <v>69</v>
      </c>
      <c r="AE9">
        <f t="shared" si="10"/>
        <v>-0.66</v>
      </c>
      <c r="AF9" t="s">
        <v>67</v>
      </c>
      <c r="AG9">
        <f t="shared" si="11"/>
        <v>-0.66</v>
      </c>
      <c r="AH9" t="s">
        <v>65</v>
      </c>
      <c r="AI9">
        <f t="shared" si="12"/>
        <v>0.33</v>
      </c>
      <c r="AJ9" t="s">
        <v>70</v>
      </c>
      <c r="AK9">
        <f t="shared" si="13"/>
        <v>-1</v>
      </c>
      <c r="AL9" t="s">
        <v>68</v>
      </c>
      <c r="AM9">
        <f t="shared" si="14"/>
        <v>-1</v>
      </c>
      <c r="AN9" t="s">
        <v>69</v>
      </c>
      <c r="AO9">
        <f t="shared" si="15"/>
        <v>0.66</v>
      </c>
      <c r="AP9" t="s">
        <v>67</v>
      </c>
      <c r="AQ9">
        <f t="shared" si="16"/>
        <v>-0.66</v>
      </c>
      <c r="AR9" t="s">
        <v>69</v>
      </c>
      <c r="AS9">
        <f t="shared" si="17"/>
        <v>-0.66</v>
      </c>
      <c r="AT9" t="s">
        <v>70</v>
      </c>
      <c r="AU9">
        <f t="shared" si="18"/>
        <v>1</v>
      </c>
      <c r="AV9" s="2">
        <f t="shared" si="19"/>
        <v>-2.6500000000000004</v>
      </c>
      <c r="AW9" t="s">
        <v>68</v>
      </c>
      <c r="AX9" t="s">
        <v>66</v>
      </c>
      <c r="AY9" t="s">
        <v>65</v>
      </c>
      <c r="AZ9" t="s">
        <v>67</v>
      </c>
      <c r="BA9" t="s">
        <v>65</v>
      </c>
      <c r="BB9" t="s">
        <v>67</v>
      </c>
      <c r="BC9" t="s">
        <v>67</v>
      </c>
      <c r="BD9" t="s">
        <v>67</v>
      </c>
      <c r="BE9" t="s">
        <v>67</v>
      </c>
      <c r="BF9" t="s">
        <v>66</v>
      </c>
      <c r="BG9" t="s">
        <v>69</v>
      </c>
      <c r="BH9" t="s">
        <v>71</v>
      </c>
      <c r="BJ9" t="s">
        <v>71</v>
      </c>
      <c r="BK9" t="s">
        <v>71</v>
      </c>
      <c r="BM9" t="s">
        <v>71</v>
      </c>
      <c r="BR9" t="s">
        <v>71</v>
      </c>
      <c r="BX9" t="s">
        <v>72</v>
      </c>
      <c r="BY9" t="s">
        <v>73</v>
      </c>
      <c r="BZ9" t="s">
        <v>73</v>
      </c>
    </row>
    <row r="10" spans="1:79" x14ac:dyDescent="0.25">
      <c r="A10">
        <v>45547.900090775467</v>
      </c>
      <c r="B10" t="s">
        <v>94</v>
      </c>
      <c r="C10">
        <v>2000</v>
      </c>
      <c r="D10" t="s">
        <v>59</v>
      </c>
      <c r="E10" t="s">
        <v>95</v>
      </c>
      <c r="F10" t="s">
        <v>76</v>
      </c>
      <c r="G10" t="s">
        <v>96</v>
      </c>
      <c r="H10" t="s">
        <v>83</v>
      </c>
      <c r="I10" t="s">
        <v>89</v>
      </c>
      <c r="J10" t="s">
        <v>90</v>
      </c>
      <c r="K10" s="1" t="s">
        <v>132</v>
      </c>
      <c r="L10" t="s">
        <v>67</v>
      </c>
      <c r="M10">
        <f t="shared" si="1"/>
        <v>-0.66</v>
      </c>
      <c r="N10" t="s">
        <v>66</v>
      </c>
      <c r="O10">
        <f t="shared" si="2"/>
        <v>-0.33</v>
      </c>
      <c r="P10" t="s">
        <v>67</v>
      </c>
      <c r="Q10">
        <f t="shared" si="3"/>
        <v>-0.66</v>
      </c>
      <c r="R10" t="s">
        <v>67</v>
      </c>
      <c r="S10">
        <f t="shared" si="4"/>
        <v>0.66</v>
      </c>
      <c r="T10" t="s">
        <v>69</v>
      </c>
      <c r="U10">
        <f t="shared" si="5"/>
        <v>0.66</v>
      </c>
      <c r="V10" t="s">
        <v>67</v>
      </c>
      <c r="W10">
        <f>IF(V10="Totalmente de Acuerdo",1,IF(V10="Muy de Acuerdo",0.66,IF(V10="Levemente de Acuerdo",0.33,IF(V10="Levemente en Desacuerdo",-0.33,IF(V10="Muy en Desacuerdo",-0.66,IF(V10="Totalmente en Desacuerdo",-1,"error"))))))</f>
        <v>0.66</v>
      </c>
      <c r="X10" t="s">
        <v>66</v>
      </c>
      <c r="Y10">
        <f t="shared" si="7"/>
        <v>-0.33</v>
      </c>
      <c r="Z10" t="s">
        <v>69</v>
      </c>
      <c r="AA10">
        <f t="shared" si="8"/>
        <v>-0.66</v>
      </c>
      <c r="AB10" s="2">
        <f t="shared" si="9"/>
        <v>-0.65999999999999992</v>
      </c>
      <c r="AC10" s="5">
        <f t="shared" si="0"/>
        <v>-0.74249999999999994</v>
      </c>
      <c r="AD10" t="s">
        <v>69</v>
      </c>
      <c r="AE10">
        <f t="shared" si="10"/>
        <v>-0.66</v>
      </c>
      <c r="AF10" t="s">
        <v>67</v>
      </c>
      <c r="AG10">
        <f t="shared" si="11"/>
        <v>-0.66</v>
      </c>
      <c r="AH10" t="s">
        <v>66</v>
      </c>
      <c r="AI10">
        <f t="shared" si="12"/>
        <v>-0.33</v>
      </c>
      <c r="AJ10" t="s">
        <v>65</v>
      </c>
      <c r="AK10">
        <f t="shared" si="13"/>
        <v>0.33</v>
      </c>
      <c r="AL10" t="s">
        <v>68</v>
      </c>
      <c r="AM10">
        <f t="shared" si="14"/>
        <v>-1</v>
      </c>
      <c r="AN10" t="s">
        <v>65</v>
      </c>
      <c r="AO10">
        <f t="shared" si="15"/>
        <v>-0.33</v>
      </c>
      <c r="AP10" t="s">
        <v>67</v>
      </c>
      <c r="AQ10">
        <f t="shared" si="16"/>
        <v>-0.66</v>
      </c>
      <c r="AR10" t="s">
        <v>68</v>
      </c>
      <c r="AS10">
        <f t="shared" si="17"/>
        <v>1</v>
      </c>
      <c r="AT10" t="s">
        <v>69</v>
      </c>
      <c r="AU10">
        <f t="shared" si="18"/>
        <v>0.66</v>
      </c>
      <c r="AV10" s="2">
        <f t="shared" si="19"/>
        <v>-1.6500000000000001</v>
      </c>
      <c r="AW10" t="s">
        <v>65</v>
      </c>
      <c r="AX10" t="s">
        <v>66</v>
      </c>
      <c r="AY10" t="s">
        <v>66</v>
      </c>
      <c r="AZ10" t="s">
        <v>67</v>
      </c>
      <c r="BA10" t="s">
        <v>67</v>
      </c>
      <c r="BB10" t="s">
        <v>65</v>
      </c>
      <c r="BC10" t="s">
        <v>65</v>
      </c>
      <c r="BD10" t="s">
        <v>67</v>
      </c>
      <c r="BE10" t="s">
        <v>69</v>
      </c>
      <c r="BF10" t="s">
        <v>68</v>
      </c>
      <c r="BG10" t="s">
        <v>67</v>
      </c>
      <c r="BJ10" t="s">
        <v>71</v>
      </c>
      <c r="BV10" t="s">
        <v>71</v>
      </c>
      <c r="BX10" t="s">
        <v>97</v>
      </c>
      <c r="BY10" t="s">
        <v>97</v>
      </c>
      <c r="BZ10" t="s">
        <v>98</v>
      </c>
    </row>
    <row r="11" spans="1:79" x14ac:dyDescent="0.25">
      <c r="A11">
        <v>45547.900143368053</v>
      </c>
      <c r="B11" t="s">
        <v>99</v>
      </c>
      <c r="C11">
        <v>2002</v>
      </c>
      <c r="D11" t="s">
        <v>75</v>
      </c>
      <c r="E11" t="s">
        <v>60</v>
      </c>
      <c r="F11" t="s">
        <v>61</v>
      </c>
      <c r="G11" t="s">
        <v>61</v>
      </c>
      <c r="H11" t="s">
        <v>83</v>
      </c>
      <c r="I11" t="s">
        <v>63</v>
      </c>
      <c r="J11" t="s">
        <v>90</v>
      </c>
      <c r="K11" s="1" t="s">
        <v>132</v>
      </c>
      <c r="L11" t="s">
        <v>67</v>
      </c>
      <c r="M11">
        <f t="shared" si="1"/>
        <v>-0.66</v>
      </c>
      <c r="N11" t="s">
        <v>69</v>
      </c>
      <c r="O11">
        <f t="shared" si="2"/>
        <v>-0.66</v>
      </c>
      <c r="P11" t="s">
        <v>68</v>
      </c>
      <c r="Q11">
        <f t="shared" si="3"/>
        <v>-1</v>
      </c>
      <c r="R11" t="s">
        <v>65</v>
      </c>
      <c r="S11">
        <f t="shared" si="4"/>
        <v>0.33</v>
      </c>
      <c r="T11" t="s">
        <v>66</v>
      </c>
      <c r="U11">
        <f t="shared" si="5"/>
        <v>0.33</v>
      </c>
      <c r="V11" t="s">
        <v>65</v>
      </c>
      <c r="W11">
        <f t="shared" si="6"/>
        <v>0.33</v>
      </c>
      <c r="X11" t="s">
        <v>69</v>
      </c>
      <c r="Y11">
        <f t="shared" si="7"/>
        <v>-0.66</v>
      </c>
      <c r="Z11" t="s">
        <v>70</v>
      </c>
      <c r="AA11">
        <f t="shared" si="8"/>
        <v>-1</v>
      </c>
      <c r="AB11" s="2">
        <f t="shared" si="9"/>
        <v>-2.99</v>
      </c>
      <c r="AC11" s="5">
        <f t="shared" si="0"/>
        <v>-3.3637500000000005</v>
      </c>
      <c r="AD11" t="s">
        <v>70</v>
      </c>
      <c r="AE11">
        <f t="shared" si="10"/>
        <v>-1</v>
      </c>
      <c r="AF11" t="s">
        <v>67</v>
      </c>
      <c r="AG11">
        <f t="shared" si="11"/>
        <v>-0.66</v>
      </c>
      <c r="AH11" t="s">
        <v>66</v>
      </c>
      <c r="AI11">
        <f t="shared" si="12"/>
        <v>-0.33</v>
      </c>
      <c r="AJ11" t="s">
        <v>70</v>
      </c>
      <c r="AK11">
        <f t="shared" si="13"/>
        <v>-1</v>
      </c>
      <c r="AL11" t="s">
        <v>68</v>
      </c>
      <c r="AM11">
        <f t="shared" si="14"/>
        <v>-1</v>
      </c>
      <c r="AN11" t="s">
        <v>67</v>
      </c>
      <c r="AO11">
        <f t="shared" si="15"/>
        <v>-0.66</v>
      </c>
      <c r="AP11" t="s">
        <v>69</v>
      </c>
      <c r="AQ11">
        <f t="shared" si="16"/>
        <v>0.66</v>
      </c>
      <c r="AR11" t="s">
        <v>65</v>
      </c>
      <c r="AS11">
        <f t="shared" si="17"/>
        <v>0.33</v>
      </c>
      <c r="AT11" t="s">
        <v>70</v>
      </c>
      <c r="AU11">
        <f t="shared" si="18"/>
        <v>1</v>
      </c>
      <c r="AV11" s="2">
        <f t="shared" si="19"/>
        <v>-2.66</v>
      </c>
      <c r="AW11" t="s">
        <v>66</v>
      </c>
      <c r="AX11" t="s">
        <v>65</v>
      </c>
      <c r="AY11" t="s">
        <v>65</v>
      </c>
      <c r="AZ11" t="s">
        <v>67</v>
      </c>
      <c r="BA11" t="s">
        <v>65</v>
      </c>
      <c r="BB11" t="s">
        <v>66</v>
      </c>
      <c r="BC11" t="s">
        <v>66</v>
      </c>
      <c r="BD11" t="s">
        <v>66</v>
      </c>
      <c r="BE11" t="s">
        <v>69</v>
      </c>
      <c r="BF11" t="s">
        <v>68</v>
      </c>
      <c r="BG11" t="s">
        <v>70</v>
      </c>
      <c r="BJ11" t="s">
        <v>71</v>
      </c>
      <c r="BX11" t="s">
        <v>73</v>
      </c>
      <c r="BY11" t="s">
        <v>73</v>
      </c>
      <c r="BZ11" t="s">
        <v>73</v>
      </c>
    </row>
    <row r="12" spans="1:79" x14ac:dyDescent="0.25">
      <c r="A12">
        <v>45547.900196527778</v>
      </c>
      <c r="B12" t="s">
        <v>100</v>
      </c>
      <c r="C12">
        <v>2000</v>
      </c>
      <c r="D12" t="s">
        <v>59</v>
      </c>
      <c r="E12" t="s">
        <v>95</v>
      </c>
      <c r="F12" t="s">
        <v>96</v>
      </c>
      <c r="G12" t="s">
        <v>76</v>
      </c>
      <c r="H12" t="s">
        <v>83</v>
      </c>
      <c r="I12" t="s">
        <v>63</v>
      </c>
      <c r="J12" t="s">
        <v>90</v>
      </c>
      <c r="K12" s="1" t="s">
        <v>132</v>
      </c>
      <c r="L12" t="s">
        <v>70</v>
      </c>
      <c r="M12">
        <f t="shared" si="1"/>
        <v>1</v>
      </c>
      <c r="N12" t="s">
        <v>70</v>
      </c>
      <c r="O12">
        <f t="shared" si="2"/>
        <v>-1</v>
      </c>
      <c r="P12" t="s">
        <v>68</v>
      </c>
      <c r="Q12">
        <f t="shared" si="3"/>
        <v>-1</v>
      </c>
      <c r="R12" t="s">
        <v>70</v>
      </c>
      <c r="S12">
        <f t="shared" si="4"/>
        <v>-1</v>
      </c>
      <c r="T12" t="s">
        <v>68</v>
      </c>
      <c r="U12">
        <f t="shared" si="5"/>
        <v>-1</v>
      </c>
      <c r="V12" t="s">
        <v>69</v>
      </c>
      <c r="W12">
        <f t="shared" si="6"/>
        <v>-0.66</v>
      </c>
      <c r="X12" t="s">
        <v>65</v>
      </c>
      <c r="Y12">
        <f t="shared" si="7"/>
        <v>0.33</v>
      </c>
      <c r="Z12" t="s">
        <v>70</v>
      </c>
      <c r="AA12">
        <f t="shared" si="8"/>
        <v>-1</v>
      </c>
      <c r="AB12" s="2">
        <f t="shared" si="9"/>
        <v>-4.33</v>
      </c>
      <c r="AC12" s="5">
        <f t="shared" si="0"/>
        <v>-4.8712499999999999</v>
      </c>
      <c r="AD12" t="s">
        <v>69</v>
      </c>
      <c r="AE12">
        <f t="shared" si="10"/>
        <v>-0.66</v>
      </c>
      <c r="AF12" t="s">
        <v>70</v>
      </c>
      <c r="AG12">
        <f t="shared" si="11"/>
        <v>1</v>
      </c>
      <c r="AH12" t="s">
        <v>70</v>
      </c>
      <c r="AI12">
        <f t="shared" si="12"/>
        <v>-1</v>
      </c>
      <c r="AJ12" t="s">
        <v>70</v>
      </c>
      <c r="AK12">
        <f t="shared" si="13"/>
        <v>-1</v>
      </c>
      <c r="AL12" t="s">
        <v>68</v>
      </c>
      <c r="AM12">
        <f t="shared" si="14"/>
        <v>-1</v>
      </c>
      <c r="AN12" t="s">
        <v>68</v>
      </c>
      <c r="AO12">
        <f t="shared" si="15"/>
        <v>-1</v>
      </c>
      <c r="AP12" t="s">
        <v>68</v>
      </c>
      <c r="AQ12">
        <f t="shared" si="16"/>
        <v>-1</v>
      </c>
      <c r="AR12" t="s">
        <v>70</v>
      </c>
      <c r="AS12">
        <f t="shared" si="17"/>
        <v>-1</v>
      </c>
      <c r="AT12" t="s">
        <v>70</v>
      </c>
      <c r="AU12">
        <f t="shared" si="18"/>
        <v>1</v>
      </c>
      <c r="AV12" s="2">
        <f t="shared" si="19"/>
        <v>-4.66</v>
      </c>
      <c r="AW12" t="s">
        <v>70</v>
      </c>
      <c r="AX12" t="s">
        <v>68</v>
      </c>
      <c r="AY12" t="s">
        <v>68</v>
      </c>
      <c r="AZ12" t="s">
        <v>65</v>
      </c>
      <c r="BA12" t="s">
        <v>65</v>
      </c>
      <c r="BB12" t="s">
        <v>66</v>
      </c>
      <c r="BC12" t="s">
        <v>69</v>
      </c>
      <c r="BD12" t="s">
        <v>70</v>
      </c>
      <c r="BE12" t="s">
        <v>68</v>
      </c>
      <c r="BF12" t="s">
        <v>68</v>
      </c>
      <c r="BG12" t="s">
        <v>70</v>
      </c>
      <c r="BJ12" t="s">
        <v>71</v>
      </c>
      <c r="BK12" t="s">
        <v>71</v>
      </c>
      <c r="BP12" t="s">
        <v>71</v>
      </c>
      <c r="BQ12" t="s">
        <v>71</v>
      </c>
      <c r="BU12" t="s">
        <v>71</v>
      </c>
      <c r="BX12" t="s">
        <v>101</v>
      </c>
      <c r="BY12" t="s">
        <v>79</v>
      </c>
      <c r="BZ12" t="s">
        <v>79</v>
      </c>
    </row>
    <row r="13" spans="1:79" x14ac:dyDescent="0.25">
      <c r="A13">
        <v>45547.900220509255</v>
      </c>
      <c r="B13" t="s">
        <v>102</v>
      </c>
      <c r="C13">
        <v>2000</v>
      </c>
      <c r="D13" t="s">
        <v>75</v>
      </c>
      <c r="E13" t="s">
        <v>95</v>
      </c>
      <c r="F13" t="s">
        <v>96</v>
      </c>
      <c r="G13" t="s">
        <v>96</v>
      </c>
      <c r="H13" t="s">
        <v>62</v>
      </c>
      <c r="I13" t="s">
        <v>63</v>
      </c>
      <c r="J13" t="s">
        <v>64</v>
      </c>
      <c r="K13" s="1" t="s">
        <v>132</v>
      </c>
      <c r="L13" t="s">
        <v>65</v>
      </c>
      <c r="M13">
        <f t="shared" si="1"/>
        <v>-0.33</v>
      </c>
      <c r="N13" t="s">
        <v>66</v>
      </c>
      <c r="O13">
        <f t="shared" si="2"/>
        <v>-0.33</v>
      </c>
      <c r="P13" t="s">
        <v>67</v>
      </c>
      <c r="Q13">
        <f t="shared" si="3"/>
        <v>-0.66</v>
      </c>
      <c r="R13" t="s">
        <v>65</v>
      </c>
      <c r="S13">
        <f t="shared" si="4"/>
        <v>0.33</v>
      </c>
      <c r="T13" t="s">
        <v>65</v>
      </c>
      <c r="U13">
        <f t="shared" si="5"/>
        <v>-0.33</v>
      </c>
      <c r="V13" t="s">
        <v>67</v>
      </c>
      <c r="W13">
        <f t="shared" si="6"/>
        <v>0.66</v>
      </c>
      <c r="X13" t="s">
        <v>66</v>
      </c>
      <c r="Y13">
        <f t="shared" si="7"/>
        <v>-0.33</v>
      </c>
      <c r="Z13" t="s">
        <v>66</v>
      </c>
      <c r="AA13">
        <f t="shared" si="8"/>
        <v>-0.33</v>
      </c>
      <c r="AB13" s="2">
        <f t="shared" si="9"/>
        <v>-1.32</v>
      </c>
      <c r="AC13" s="5">
        <f t="shared" si="0"/>
        <v>-1.4850000000000001</v>
      </c>
      <c r="AD13" t="s">
        <v>65</v>
      </c>
      <c r="AE13">
        <f t="shared" si="10"/>
        <v>0.33</v>
      </c>
      <c r="AF13" t="s">
        <v>67</v>
      </c>
      <c r="AG13">
        <f t="shared" si="11"/>
        <v>-0.66</v>
      </c>
      <c r="AH13" t="s">
        <v>70</v>
      </c>
      <c r="AI13">
        <f t="shared" si="12"/>
        <v>-1</v>
      </c>
      <c r="AJ13" t="s">
        <v>70</v>
      </c>
      <c r="AK13">
        <f t="shared" si="13"/>
        <v>-1</v>
      </c>
      <c r="AL13" t="s">
        <v>65</v>
      </c>
      <c r="AM13">
        <f t="shared" si="14"/>
        <v>-0.33</v>
      </c>
      <c r="AN13" t="s">
        <v>66</v>
      </c>
      <c r="AO13">
        <f t="shared" si="15"/>
        <v>0.33</v>
      </c>
      <c r="AP13" t="s">
        <v>65</v>
      </c>
      <c r="AQ13">
        <f t="shared" si="16"/>
        <v>-0.33</v>
      </c>
      <c r="AR13" t="s">
        <v>67</v>
      </c>
      <c r="AS13">
        <f t="shared" si="17"/>
        <v>0.66</v>
      </c>
      <c r="AT13" t="s">
        <v>69</v>
      </c>
      <c r="AU13">
        <f t="shared" si="18"/>
        <v>0.66</v>
      </c>
      <c r="AV13" s="2">
        <f t="shared" si="19"/>
        <v>-1.3399999999999999</v>
      </c>
      <c r="AW13" t="s">
        <v>65</v>
      </c>
      <c r="AX13" t="s">
        <v>65</v>
      </c>
      <c r="AY13" t="s">
        <v>69</v>
      </c>
      <c r="AZ13" t="s">
        <v>66</v>
      </c>
      <c r="BA13" t="s">
        <v>67</v>
      </c>
      <c r="BB13" t="s">
        <v>66</v>
      </c>
      <c r="BC13" t="s">
        <v>66</v>
      </c>
      <c r="BD13" t="s">
        <v>65</v>
      </c>
      <c r="BE13" t="s">
        <v>69</v>
      </c>
      <c r="BF13" t="s">
        <v>67</v>
      </c>
      <c r="BG13" t="s">
        <v>67</v>
      </c>
      <c r="BJ13" t="s">
        <v>71</v>
      </c>
      <c r="BK13" t="s">
        <v>71</v>
      </c>
      <c r="BU13" t="s">
        <v>71</v>
      </c>
      <c r="BX13" t="s">
        <v>103</v>
      </c>
      <c r="BY13" t="s">
        <v>73</v>
      </c>
      <c r="BZ13" t="s">
        <v>73</v>
      </c>
    </row>
    <row r="14" spans="1:79" x14ac:dyDescent="0.25">
      <c r="A14">
        <v>45547.900811840278</v>
      </c>
      <c r="B14" t="s">
        <v>104</v>
      </c>
      <c r="C14">
        <v>2001</v>
      </c>
      <c r="D14" t="s">
        <v>59</v>
      </c>
      <c r="E14" t="s">
        <v>95</v>
      </c>
      <c r="F14" t="s">
        <v>82</v>
      </c>
      <c r="G14" t="s">
        <v>61</v>
      </c>
      <c r="H14" t="s">
        <v>83</v>
      </c>
      <c r="I14" t="s">
        <v>63</v>
      </c>
      <c r="J14" t="s">
        <v>90</v>
      </c>
      <c r="K14" s="1" t="s">
        <v>132</v>
      </c>
      <c r="L14" t="s">
        <v>69</v>
      </c>
      <c r="M14">
        <f t="shared" si="1"/>
        <v>0.66</v>
      </c>
      <c r="N14" t="s">
        <v>65</v>
      </c>
      <c r="O14">
        <f t="shared" si="2"/>
        <v>0.33</v>
      </c>
      <c r="P14" t="s">
        <v>67</v>
      </c>
      <c r="Q14">
        <f t="shared" si="3"/>
        <v>-0.66</v>
      </c>
      <c r="R14" t="s">
        <v>65</v>
      </c>
      <c r="S14">
        <f t="shared" si="4"/>
        <v>0.33</v>
      </c>
      <c r="T14" t="s">
        <v>65</v>
      </c>
      <c r="U14">
        <f t="shared" si="5"/>
        <v>-0.33</v>
      </c>
      <c r="V14" t="s">
        <v>65</v>
      </c>
      <c r="W14">
        <f t="shared" si="6"/>
        <v>0.33</v>
      </c>
      <c r="X14" t="s">
        <v>67</v>
      </c>
      <c r="Y14">
        <f t="shared" si="7"/>
        <v>0.66</v>
      </c>
      <c r="Z14" t="s">
        <v>85</v>
      </c>
      <c r="AA14">
        <f t="shared" si="8"/>
        <v>0.33</v>
      </c>
      <c r="AB14" s="2">
        <f t="shared" si="9"/>
        <v>1.65</v>
      </c>
      <c r="AC14" s="5">
        <f t="shared" si="0"/>
        <v>1.85625</v>
      </c>
      <c r="AD14" t="s">
        <v>65</v>
      </c>
      <c r="AE14">
        <f t="shared" si="10"/>
        <v>0.33</v>
      </c>
      <c r="AF14" t="s">
        <v>67</v>
      </c>
      <c r="AG14">
        <f t="shared" si="11"/>
        <v>-0.66</v>
      </c>
      <c r="AH14" t="s">
        <v>67</v>
      </c>
      <c r="AI14">
        <f t="shared" si="12"/>
        <v>0.66</v>
      </c>
      <c r="AJ14" t="s">
        <v>69</v>
      </c>
      <c r="AK14">
        <f t="shared" si="13"/>
        <v>-0.66</v>
      </c>
      <c r="AL14" t="s">
        <v>66</v>
      </c>
      <c r="AM14">
        <f t="shared" si="14"/>
        <v>0.33</v>
      </c>
      <c r="AN14" t="s">
        <v>70</v>
      </c>
      <c r="AO14">
        <f t="shared" si="15"/>
        <v>1</v>
      </c>
      <c r="AP14" t="s">
        <v>65</v>
      </c>
      <c r="AQ14">
        <f t="shared" si="16"/>
        <v>-0.33</v>
      </c>
      <c r="AR14" t="s">
        <v>65</v>
      </c>
      <c r="AS14">
        <f t="shared" si="17"/>
        <v>0.33</v>
      </c>
      <c r="AT14" t="s">
        <v>70</v>
      </c>
      <c r="AU14">
        <f t="shared" si="18"/>
        <v>1</v>
      </c>
      <c r="AV14" s="2">
        <f t="shared" si="19"/>
        <v>2</v>
      </c>
      <c r="AW14" t="s">
        <v>65</v>
      </c>
      <c r="AX14" t="s">
        <v>65</v>
      </c>
      <c r="AY14" t="s">
        <v>66</v>
      </c>
      <c r="AZ14" t="s">
        <v>67</v>
      </c>
      <c r="BA14" t="s">
        <v>66</v>
      </c>
      <c r="BB14" t="s">
        <v>66</v>
      </c>
      <c r="BC14" t="s">
        <v>70</v>
      </c>
      <c r="BD14" t="s">
        <v>70</v>
      </c>
      <c r="BE14" t="s">
        <v>65</v>
      </c>
      <c r="BF14" t="s">
        <v>68</v>
      </c>
      <c r="BG14" t="s">
        <v>65</v>
      </c>
      <c r="BJ14" t="s">
        <v>71</v>
      </c>
      <c r="BX14" t="s">
        <v>72</v>
      </c>
      <c r="BY14" t="s">
        <v>72</v>
      </c>
      <c r="BZ14" t="s">
        <v>73</v>
      </c>
    </row>
    <row r="15" spans="1:79" x14ac:dyDescent="0.25">
      <c r="A15">
        <v>45547.900887152777</v>
      </c>
      <c r="B15" t="s">
        <v>105</v>
      </c>
      <c r="C15">
        <v>2003</v>
      </c>
      <c r="D15" t="s">
        <v>59</v>
      </c>
      <c r="E15" t="s">
        <v>95</v>
      </c>
      <c r="F15" t="s">
        <v>76</v>
      </c>
      <c r="G15" t="s">
        <v>82</v>
      </c>
      <c r="H15" t="s">
        <v>62</v>
      </c>
      <c r="I15" t="s">
        <v>63</v>
      </c>
      <c r="J15" t="s">
        <v>77</v>
      </c>
      <c r="K15" s="1" t="s">
        <v>132</v>
      </c>
      <c r="L15" t="s">
        <v>65</v>
      </c>
      <c r="M15">
        <f t="shared" si="1"/>
        <v>-0.33</v>
      </c>
      <c r="N15" t="s">
        <v>68</v>
      </c>
      <c r="O15">
        <f t="shared" si="2"/>
        <v>1</v>
      </c>
      <c r="P15" t="s">
        <v>67</v>
      </c>
      <c r="Q15">
        <f t="shared" si="3"/>
        <v>-0.66</v>
      </c>
      <c r="R15" t="s">
        <v>68</v>
      </c>
      <c r="S15">
        <f t="shared" si="4"/>
        <v>1</v>
      </c>
      <c r="T15" t="s">
        <v>69</v>
      </c>
      <c r="U15">
        <f t="shared" si="5"/>
        <v>0.66</v>
      </c>
      <c r="V15" t="s">
        <v>69</v>
      </c>
      <c r="W15">
        <f t="shared" si="6"/>
        <v>-0.66</v>
      </c>
      <c r="X15" t="s">
        <v>68</v>
      </c>
      <c r="Y15">
        <f t="shared" si="7"/>
        <v>1</v>
      </c>
      <c r="Z15" t="s">
        <v>67</v>
      </c>
      <c r="AA15">
        <f t="shared" si="8"/>
        <v>0.66</v>
      </c>
      <c r="AB15" s="2">
        <f t="shared" si="9"/>
        <v>2.67</v>
      </c>
      <c r="AC15" s="5">
        <f t="shared" si="0"/>
        <v>3.0037500000000001</v>
      </c>
      <c r="AD15" t="s">
        <v>65</v>
      </c>
      <c r="AE15">
        <f t="shared" si="10"/>
        <v>0.33</v>
      </c>
      <c r="AF15" t="s">
        <v>67</v>
      </c>
      <c r="AG15">
        <f t="shared" si="11"/>
        <v>-0.66</v>
      </c>
      <c r="AH15" t="s">
        <v>67</v>
      </c>
      <c r="AI15">
        <f t="shared" si="12"/>
        <v>0.66</v>
      </c>
      <c r="AJ15" t="s">
        <v>67</v>
      </c>
      <c r="AK15">
        <f t="shared" si="13"/>
        <v>0.66</v>
      </c>
      <c r="AL15" t="s">
        <v>65</v>
      </c>
      <c r="AM15">
        <f t="shared" si="14"/>
        <v>-0.33</v>
      </c>
      <c r="AN15" t="s">
        <v>70</v>
      </c>
      <c r="AO15">
        <f t="shared" si="15"/>
        <v>1</v>
      </c>
      <c r="AP15" t="s">
        <v>67</v>
      </c>
      <c r="AQ15">
        <f t="shared" si="16"/>
        <v>-0.66</v>
      </c>
      <c r="AR15" t="s">
        <v>68</v>
      </c>
      <c r="AS15">
        <f t="shared" si="17"/>
        <v>1</v>
      </c>
      <c r="AT15" t="s">
        <v>67</v>
      </c>
      <c r="AU15">
        <f t="shared" si="18"/>
        <v>-0.66</v>
      </c>
      <c r="AV15" s="2">
        <f t="shared" si="19"/>
        <v>1.3399999999999999</v>
      </c>
      <c r="AW15" t="s">
        <v>68</v>
      </c>
      <c r="AX15" t="s">
        <v>68</v>
      </c>
      <c r="AY15" t="s">
        <v>67</v>
      </c>
      <c r="AZ15" t="s">
        <v>69</v>
      </c>
      <c r="BA15" t="s">
        <v>69</v>
      </c>
      <c r="BB15" t="s">
        <v>66</v>
      </c>
      <c r="BC15" t="s">
        <v>65</v>
      </c>
      <c r="BD15" t="s">
        <v>67</v>
      </c>
      <c r="BE15" t="s">
        <v>65</v>
      </c>
      <c r="BF15" t="s">
        <v>67</v>
      </c>
      <c r="BG15" t="s">
        <v>67</v>
      </c>
      <c r="BH15" t="s">
        <v>71</v>
      </c>
      <c r="BM15" t="s">
        <v>71</v>
      </c>
      <c r="BR15" t="s">
        <v>71</v>
      </c>
      <c r="BX15" t="s">
        <v>73</v>
      </c>
      <c r="BY15" t="s">
        <v>73</v>
      </c>
      <c r="BZ15" t="s">
        <v>73</v>
      </c>
    </row>
    <row r="16" spans="1:79" x14ac:dyDescent="0.25">
      <c r="A16">
        <v>45547.901088287035</v>
      </c>
      <c r="B16" t="s">
        <v>106</v>
      </c>
      <c r="C16">
        <v>2001</v>
      </c>
      <c r="D16" t="s">
        <v>59</v>
      </c>
      <c r="E16" t="s">
        <v>95</v>
      </c>
      <c r="F16" t="s">
        <v>107</v>
      </c>
      <c r="G16" t="s">
        <v>76</v>
      </c>
      <c r="H16" t="s">
        <v>62</v>
      </c>
      <c r="I16" t="s">
        <v>63</v>
      </c>
      <c r="J16" t="s">
        <v>77</v>
      </c>
      <c r="K16" s="1" t="s">
        <v>132</v>
      </c>
      <c r="L16" t="s">
        <v>65</v>
      </c>
      <c r="M16">
        <f t="shared" si="1"/>
        <v>-0.33</v>
      </c>
      <c r="N16" t="s">
        <v>65</v>
      </c>
      <c r="O16">
        <f t="shared" si="2"/>
        <v>0.33</v>
      </c>
      <c r="P16" t="s">
        <v>65</v>
      </c>
      <c r="Q16">
        <f t="shared" si="3"/>
        <v>-0.33</v>
      </c>
      <c r="R16" t="s">
        <v>65</v>
      </c>
      <c r="S16">
        <f t="shared" si="4"/>
        <v>0.33</v>
      </c>
      <c r="T16" t="s">
        <v>65</v>
      </c>
      <c r="U16">
        <f t="shared" si="5"/>
        <v>-0.33</v>
      </c>
      <c r="V16" t="s">
        <v>67</v>
      </c>
      <c r="W16">
        <f t="shared" si="6"/>
        <v>0.66</v>
      </c>
      <c r="X16" t="s">
        <v>65</v>
      </c>
      <c r="Y16">
        <f t="shared" si="7"/>
        <v>0.33</v>
      </c>
      <c r="Z16" t="s">
        <v>66</v>
      </c>
      <c r="AA16">
        <f t="shared" si="8"/>
        <v>-0.33</v>
      </c>
      <c r="AB16" s="2">
        <f t="shared" si="9"/>
        <v>0.33</v>
      </c>
      <c r="AC16" s="5">
        <f t="shared" si="0"/>
        <v>0.37125000000000002</v>
      </c>
      <c r="AD16" t="s">
        <v>66</v>
      </c>
      <c r="AE16">
        <f t="shared" si="10"/>
        <v>-0.33</v>
      </c>
      <c r="AF16" t="s">
        <v>67</v>
      </c>
      <c r="AG16">
        <f t="shared" si="11"/>
        <v>-0.66</v>
      </c>
      <c r="AH16" t="s">
        <v>66</v>
      </c>
      <c r="AI16">
        <f t="shared" si="12"/>
        <v>-0.33</v>
      </c>
      <c r="AJ16" t="s">
        <v>66</v>
      </c>
      <c r="AK16">
        <f t="shared" si="13"/>
        <v>-0.33</v>
      </c>
      <c r="AL16" t="s">
        <v>67</v>
      </c>
      <c r="AM16">
        <f t="shared" si="14"/>
        <v>-0.66</v>
      </c>
      <c r="AN16" t="s">
        <v>70</v>
      </c>
      <c r="AO16">
        <f t="shared" si="15"/>
        <v>1</v>
      </c>
      <c r="AP16" t="s">
        <v>65</v>
      </c>
      <c r="AQ16">
        <f t="shared" si="16"/>
        <v>-0.33</v>
      </c>
      <c r="AR16" t="s">
        <v>67</v>
      </c>
      <c r="AS16">
        <f t="shared" si="17"/>
        <v>0.66</v>
      </c>
      <c r="AT16" t="s">
        <v>70</v>
      </c>
      <c r="AU16">
        <f t="shared" si="18"/>
        <v>1</v>
      </c>
      <c r="AV16" s="2">
        <f t="shared" si="19"/>
        <v>1.999999999999974E-2</v>
      </c>
      <c r="AW16" t="s">
        <v>67</v>
      </c>
      <c r="AX16" t="s">
        <v>65</v>
      </c>
      <c r="AY16" t="s">
        <v>69</v>
      </c>
      <c r="AZ16" t="s">
        <v>69</v>
      </c>
      <c r="BA16" t="s">
        <v>70</v>
      </c>
      <c r="BB16" t="s">
        <v>70</v>
      </c>
      <c r="BC16" t="s">
        <v>70</v>
      </c>
      <c r="BD16" t="s">
        <v>69</v>
      </c>
      <c r="BE16" t="s">
        <v>67</v>
      </c>
      <c r="BF16" t="s">
        <v>66</v>
      </c>
      <c r="BG16" t="s">
        <v>67</v>
      </c>
      <c r="BO16" t="s">
        <v>71</v>
      </c>
      <c r="BX16" t="s">
        <v>87</v>
      </c>
      <c r="BY16" t="s">
        <v>98</v>
      </c>
      <c r="BZ16" t="s">
        <v>98</v>
      </c>
    </row>
    <row r="17" spans="1:78" x14ac:dyDescent="0.25">
      <c r="A17">
        <v>45547.901113668981</v>
      </c>
      <c r="B17" t="s">
        <v>108</v>
      </c>
      <c r="C17">
        <v>2002</v>
      </c>
      <c r="D17" t="s">
        <v>59</v>
      </c>
      <c r="E17" t="s">
        <v>60</v>
      </c>
      <c r="F17" t="s">
        <v>76</v>
      </c>
      <c r="G17" t="s">
        <v>76</v>
      </c>
      <c r="H17" t="s">
        <v>83</v>
      </c>
      <c r="I17" t="s">
        <v>63</v>
      </c>
      <c r="J17" t="s">
        <v>77</v>
      </c>
      <c r="K17" s="1" t="s">
        <v>132</v>
      </c>
      <c r="L17" t="s">
        <v>69</v>
      </c>
      <c r="M17">
        <f t="shared" si="1"/>
        <v>0.66</v>
      </c>
      <c r="N17" t="s">
        <v>65</v>
      </c>
      <c r="O17">
        <f t="shared" si="2"/>
        <v>0.33</v>
      </c>
      <c r="P17" t="s">
        <v>67</v>
      </c>
      <c r="Q17">
        <f t="shared" si="3"/>
        <v>-0.66</v>
      </c>
      <c r="R17" t="s">
        <v>68</v>
      </c>
      <c r="S17">
        <f t="shared" si="4"/>
        <v>1</v>
      </c>
      <c r="T17" t="s">
        <v>69</v>
      </c>
      <c r="U17">
        <f t="shared" si="5"/>
        <v>0.66</v>
      </c>
      <c r="V17" t="s">
        <v>67</v>
      </c>
      <c r="W17">
        <f t="shared" si="6"/>
        <v>0.66</v>
      </c>
      <c r="X17" t="s">
        <v>65</v>
      </c>
      <c r="Y17">
        <f t="shared" si="7"/>
        <v>0.33</v>
      </c>
      <c r="Z17" t="s">
        <v>66</v>
      </c>
      <c r="AA17">
        <f t="shared" si="8"/>
        <v>-0.33</v>
      </c>
      <c r="AB17" s="2">
        <f t="shared" si="9"/>
        <v>2.6500000000000004</v>
      </c>
      <c r="AC17" s="5">
        <f t="shared" si="0"/>
        <v>2.9812500000000002</v>
      </c>
      <c r="AD17" t="s">
        <v>70</v>
      </c>
      <c r="AE17">
        <f t="shared" si="10"/>
        <v>-1</v>
      </c>
      <c r="AF17" t="s">
        <v>67</v>
      </c>
      <c r="AG17">
        <f t="shared" si="11"/>
        <v>-0.66</v>
      </c>
      <c r="AH17" t="s">
        <v>66</v>
      </c>
      <c r="AI17">
        <f t="shared" si="12"/>
        <v>-0.33</v>
      </c>
      <c r="AJ17" t="s">
        <v>65</v>
      </c>
      <c r="AK17">
        <f t="shared" si="13"/>
        <v>0.33</v>
      </c>
      <c r="AL17" t="s">
        <v>67</v>
      </c>
      <c r="AM17">
        <f t="shared" si="14"/>
        <v>-0.66</v>
      </c>
      <c r="AN17" t="s">
        <v>70</v>
      </c>
      <c r="AO17">
        <f t="shared" si="15"/>
        <v>1</v>
      </c>
      <c r="AP17" t="s">
        <v>69</v>
      </c>
      <c r="AQ17">
        <f t="shared" si="16"/>
        <v>0.66</v>
      </c>
      <c r="AR17" t="s">
        <v>67</v>
      </c>
      <c r="AS17">
        <f t="shared" si="17"/>
        <v>0.66</v>
      </c>
      <c r="AT17" t="s">
        <v>66</v>
      </c>
      <c r="AU17">
        <f t="shared" si="18"/>
        <v>0.33</v>
      </c>
      <c r="AV17" s="2">
        <f t="shared" si="19"/>
        <v>0.32999999999999963</v>
      </c>
      <c r="AW17" t="s">
        <v>67</v>
      </c>
      <c r="AX17" t="s">
        <v>67</v>
      </c>
      <c r="AY17" t="s">
        <v>67</v>
      </c>
      <c r="AZ17" t="s">
        <v>67</v>
      </c>
      <c r="BA17" t="s">
        <v>65</v>
      </c>
      <c r="BB17" t="s">
        <v>66</v>
      </c>
      <c r="BC17" t="s">
        <v>66</v>
      </c>
      <c r="BD17" t="s">
        <v>65</v>
      </c>
      <c r="BE17" t="s">
        <v>67</v>
      </c>
      <c r="BF17" t="s">
        <v>67</v>
      </c>
      <c r="BG17" t="s">
        <v>67</v>
      </c>
      <c r="BH17" t="s">
        <v>71</v>
      </c>
      <c r="BM17" t="s">
        <v>71</v>
      </c>
      <c r="BX17" t="s">
        <v>98</v>
      </c>
      <c r="BY17" t="s">
        <v>98</v>
      </c>
      <c r="BZ17" t="s">
        <v>73</v>
      </c>
    </row>
    <row r="18" spans="1:78" x14ac:dyDescent="0.25">
      <c r="A18">
        <v>45547.901809155097</v>
      </c>
      <c r="B18" t="s">
        <v>109</v>
      </c>
      <c r="C18">
        <v>2002</v>
      </c>
      <c r="D18" t="s">
        <v>59</v>
      </c>
      <c r="E18" t="s">
        <v>60</v>
      </c>
      <c r="F18" t="s">
        <v>76</v>
      </c>
      <c r="G18" t="s">
        <v>76</v>
      </c>
      <c r="H18" t="s">
        <v>83</v>
      </c>
      <c r="I18" t="s">
        <v>63</v>
      </c>
      <c r="J18" t="s">
        <v>77</v>
      </c>
      <c r="K18" s="1" t="s">
        <v>132</v>
      </c>
      <c r="L18" t="s">
        <v>65</v>
      </c>
      <c r="M18">
        <f t="shared" si="1"/>
        <v>-0.33</v>
      </c>
      <c r="N18" t="s">
        <v>65</v>
      </c>
      <c r="O18">
        <f t="shared" si="2"/>
        <v>0.33</v>
      </c>
      <c r="P18" t="s">
        <v>68</v>
      </c>
      <c r="Q18">
        <f t="shared" si="3"/>
        <v>-1</v>
      </c>
      <c r="R18" t="s">
        <v>67</v>
      </c>
      <c r="S18">
        <f t="shared" si="4"/>
        <v>0.66</v>
      </c>
      <c r="T18" t="s">
        <v>67</v>
      </c>
      <c r="U18">
        <f t="shared" si="5"/>
        <v>-0.66</v>
      </c>
      <c r="V18" t="s">
        <v>65</v>
      </c>
      <c r="W18">
        <f t="shared" si="6"/>
        <v>0.33</v>
      </c>
      <c r="X18" t="s">
        <v>65</v>
      </c>
      <c r="Y18">
        <f t="shared" si="7"/>
        <v>0.33</v>
      </c>
      <c r="Z18" t="s">
        <v>66</v>
      </c>
      <c r="AA18">
        <f t="shared" si="8"/>
        <v>-0.33</v>
      </c>
      <c r="AB18" s="2">
        <f t="shared" si="9"/>
        <v>-0.66999999999999993</v>
      </c>
      <c r="AC18" s="5">
        <f t="shared" si="0"/>
        <v>-0.75374999999999992</v>
      </c>
      <c r="AD18" t="s">
        <v>69</v>
      </c>
      <c r="AE18">
        <f t="shared" si="10"/>
        <v>-0.66</v>
      </c>
      <c r="AF18" t="s">
        <v>69</v>
      </c>
      <c r="AG18">
        <f t="shared" si="11"/>
        <v>0.66</v>
      </c>
      <c r="AH18" t="s">
        <v>65</v>
      </c>
      <c r="AI18">
        <f t="shared" si="12"/>
        <v>0.33</v>
      </c>
      <c r="AJ18" t="s">
        <v>65</v>
      </c>
      <c r="AK18">
        <f t="shared" si="13"/>
        <v>0.33</v>
      </c>
      <c r="AL18" t="s">
        <v>66</v>
      </c>
      <c r="AM18">
        <f t="shared" si="14"/>
        <v>0.33</v>
      </c>
      <c r="AN18" t="s">
        <v>66</v>
      </c>
      <c r="AO18">
        <f t="shared" si="15"/>
        <v>0.33</v>
      </c>
      <c r="AP18" t="s">
        <v>66</v>
      </c>
      <c r="AQ18">
        <f t="shared" si="16"/>
        <v>0.33</v>
      </c>
      <c r="AR18" t="s">
        <v>65</v>
      </c>
      <c r="AS18">
        <f t="shared" si="17"/>
        <v>0.33</v>
      </c>
      <c r="AT18" t="s">
        <v>70</v>
      </c>
      <c r="AU18">
        <f t="shared" si="18"/>
        <v>1</v>
      </c>
      <c r="AV18" s="2">
        <f t="shared" si="19"/>
        <v>2.9800000000000004</v>
      </c>
      <c r="AW18" t="s">
        <v>66</v>
      </c>
      <c r="AX18" t="s">
        <v>67</v>
      </c>
      <c r="AY18" t="s">
        <v>70</v>
      </c>
      <c r="AZ18" t="s">
        <v>70</v>
      </c>
      <c r="BA18" t="s">
        <v>70</v>
      </c>
      <c r="BB18" t="s">
        <v>65</v>
      </c>
      <c r="BC18" t="s">
        <v>65</v>
      </c>
      <c r="BD18" t="s">
        <v>65</v>
      </c>
      <c r="BE18" t="s">
        <v>70</v>
      </c>
      <c r="BF18" t="s">
        <v>70</v>
      </c>
      <c r="BG18" t="s">
        <v>69</v>
      </c>
      <c r="BL18" t="s">
        <v>71</v>
      </c>
      <c r="BX18" t="s">
        <v>73</v>
      </c>
      <c r="BY18" t="s">
        <v>73</v>
      </c>
      <c r="BZ18" t="s">
        <v>73</v>
      </c>
    </row>
    <row r="19" spans="1:78" x14ac:dyDescent="0.25">
      <c r="A19">
        <v>45547.902385891204</v>
      </c>
      <c r="B19" t="s">
        <v>110</v>
      </c>
      <c r="C19">
        <v>2000</v>
      </c>
      <c r="D19" t="s">
        <v>59</v>
      </c>
      <c r="E19" t="s">
        <v>60</v>
      </c>
      <c r="F19" t="s">
        <v>107</v>
      </c>
      <c r="G19" t="s">
        <v>82</v>
      </c>
      <c r="H19" t="s">
        <v>62</v>
      </c>
      <c r="I19" t="s">
        <v>63</v>
      </c>
      <c r="J19" t="s">
        <v>64</v>
      </c>
      <c r="K19" s="1" t="s">
        <v>132</v>
      </c>
      <c r="L19" t="s">
        <v>70</v>
      </c>
      <c r="M19">
        <f t="shared" si="1"/>
        <v>1</v>
      </c>
      <c r="N19" t="s">
        <v>65</v>
      </c>
      <c r="O19">
        <f t="shared" si="2"/>
        <v>0.33</v>
      </c>
      <c r="P19" t="s">
        <v>67</v>
      </c>
      <c r="Q19">
        <f t="shared" si="3"/>
        <v>-0.66</v>
      </c>
      <c r="R19" t="s">
        <v>67</v>
      </c>
      <c r="S19">
        <f t="shared" si="4"/>
        <v>0.66</v>
      </c>
      <c r="T19" t="s">
        <v>65</v>
      </c>
      <c r="U19">
        <f t="shared" si="5"/>
        <v>-0.33</v>
      </c>
      <c r="V19" t="s">
        <v>68</v>
      </c>
      <c r="W19">
        <f t="shared" si="6"/>
        <v>1</v>
      </c>
      <c r="X19" t="s">
        <v>67</v>
      </c>
      <c r="Y19">
        <f t="shared" si="7"/>
        <v>0.66</v>
      </c>
      <c r="Z19" t="s">
        <v>70</v>
      </c>
      <c r="AA19">
        <f t="shared" si="8"/>
        <v>-1</v>
      </c>
      <c r="AB19" s="2">
        <f t="shared" si="9"/>
        <v>1.66</v>
      </c>
      <c r="AC19" s="5">
        <f t="shared" si="0"/>
        <v>1.8674999999999999</v>
      </c>
      <c r="AD19" t="s">
        <v>69</v>
      </c>
      <c r="AE19">
        <f t="shared" si="10"/>
        <v>-0.66</v>
      </c>
      <c r="AF19" t="s">
        <v>68</v>
      </c>
      <c r="AG19">
        <f t="shared" si="11"/>
        <v>-1</v>
      </c>
      <c r="AH19" t="s">
        <v>69</v>
      </c>
      <c r="AI19">
        <f t="shared" si="12"/>
        <v>-0.66</v>
      </c>
      <c r="AJ19" t="s">
        <v>70</v>
      </c>
      <c r="AK19">
        <f t="shared" si="13"/>
        <v>-1</v>
      </c>
      <c r="AL19" t="s">
        <v>69</v>
      </c>
      <c r="AM19">
        <f t="shared" si="14"/>
        <v>0.66</v>
      </c>
      <c r="AN19" t="s">
        <v>69</v>
      </c>
      <c r="AO19">
        <f t="shared" si="15"/>
        <v>0.66</v>
      </c>
      <c r="AP19" t="s">
        <v>65</v>
      </c>
      <c r="AQ19">
        <f t="shared" si="16"/>
        <v>-0.33</v>
      </c>
      <c r="AR19" t="s">
        <v>68</v>
      </c>
      <c r="AS19">
        <f t="shared" si="17"/>
        <v>1</v>
      </c>
      <c r="AT19" t="s">
        <v>69</v>
      </c>
      <c r="AU19">
        <f t="shared" si="18"/>
        <v>0.66</v>
      </c>
      <c r="AV19" s="2">
        <f t="shared" si="19"/>
        <v>-0.66999999999999971</v>
      </c>
      <c r="AW19" t="s">
        <v>67</v>
      </c>
      <c r="AX19" t="s">
        <v>65</v>
      </c>
      <c r="AY19" t="s">
        <v>70</v>
      </c>
      <c r="AZ19" t="s">
        <v>70</v>
      </c>
      <c r="BA19" t="s">
        <v>65</v>
      </c>
      <c r="BB19" t="s">
        <v>70</v>
      </c>
      <c r="BC19" t="s">
        <v>70</v>
      </c>
      <c r="BD19" t="s">
        <v>65</v>
      </c>
      <c r="BE19" t="s">
        <v>68</v>
      </c>
      <c r="BF19" t="s">
        <v>68</v>
      </c>
      <c r="BG19" t="s">
        <v>69</v>
      </c>
      <c r="BH19" t="s">
        <v>71</v>
      </c>
      <c r="BX19" t="s">
        <v>73</v>
      </c>
      <c r="BY19" t="s">
        <v>73</v>
      </c>
      <c r="BZ19" t="s">
        <v>73</v>
      </c>
    </row>
    <row r="20" spans="1:78" x14ac:dyDescent="0.25">
      <c r="A20">
        <v>45547.902460983794</v>
      </c>
      <c r="B20" t="s">
        <v>111</v>
      </c>
      <c r="C20">
        <v>2000</v>
      </c>
      <c r="D20" t="s">
        <v>75</v>
      </c>
      <c r="E20" t="s">
        <v>95</v>
      </c>
      <c r="F20" t="s">
        <v>82</v>
      </c>
      <c r="G20" t="s">
        <v>112</v>
      </c>
      <c r="H20" t="s">
        <v>113</v>
      </c>
      <c r="I20" t="s">
        <v>89</v>
      </c>
      <c r="J20" t="s">
        <v>64</v>
      </c>
      <c r="K20" s="1" t="s">
        <v>132</v>
      </c>
      <c r="L20" t="s">
        <v>69</v>
      </c>
      <c r="M20">
        <f t="shared" si="1"/>
        <v>0.66</v>
      </c>
      <c r="N20" t="s">
        <v>67</v>
      </c>
      <c r="O20">
        <f t="shared" si="2"/>
        <v>0.66</v>
      </c>
      <c r="P20" t="s">
        <v>67</v>
      </c>
      <c r="Q20">
        <f t="shared" si="3"/>
        <v>-0.66</v>
      </c>
      <c r="R20" t="s">
        <v>67</v>
      </c>
      <c r="S20">
        <f t="shared" si="4"/>
        <v>0.66</v>
      </c>
      <c r="T20" t="s">
        <v>69</v>
      </c>
      <c r="U20">
        <f t="shared" si="5"/>
        <v>0.66</v>
      </c>
      <c r="V20" t="s">
        <v>65</v>
      </c>
      <c r="W20">
        <f t="shared" si="6"/>
        <v>0.33</v>
      </c>
      <c r="X20" t="s">
        <v>68</v>
      </c>
      <c r="Y20">
        <f t="shared" si="7"/>
        <v>1</v>
      </c>
      <c r="Z20" t="s">
        <v>69</v>
      </c>
      <c r="AA20">
        <f t="shared" si="8"/>
        <v>-0.66</v>
      </c>
      <c r="AB20" s="2">
        <f t="shared" si="9"/>
        <v>2.6500000000000004</v>
      </c>
      <c r="AC20" s="5">
        <f t="shared" si="0"/>
        <v>2.9812500000000002</v>
      </c>
      <c r="AD20" t="s">
        <v>65</v>
      </c>
      <c r="AE20">
        <f t="shared" si="10"/>
        <v>0.33</v>
      </c>
      <c r="AF20" t="s">
        <v>65</v>
      </c>
      <c r="AG20">
        <f t="shared" si="11"/>
        <v>-0.33</v>
      </c>
      <c r="AH20" t="s">
        <v>70</v>
      </c>
      <c r="AI20">
        <f t="shared" si="12"/>
        <v>-1</v>
      </c>
      <c r="AJ20" t="s">
        <v>70</v>
      </c>
      <c r="AK20">
        <f t="shared" si="13"/>
        <v>-1</v>
      </c>
      <c r="AL20" t="s">
        <v>68</v>
      </c>
      <c r="AM20">
        <f t="shared" si="14"/>
        <v>-1</v>
      </c>
      <c r="AN20" t="s">
        <v>69</v>
      </c>
      <c r="AO20">
        <f t="shared" si="15"/>
        <v>0.66</v>
      </c>
      <c r="AP20" t="s">
        <v>65</v>
      </c>
      <c r="AQ20">
        <f t="shared" si="16"/>
        <v>-0.33</v>
      </c>
      <c r="AR20" t="s">
        <v>69</v>
      </c>
      <c r="AS20">
        <f t="shared" si="17"/>
        <v>-0.66</v>
      </c>
      <c r="AT20" t="s">
        <v>69</v>
      </c>
      <c r="AU20">
        <f t="shared" si="18"/>
        <v>0.66</v>
      </c>
      <c r="AV20" s="2">
        <f t="shared" si="19"/>
        <v>-2.67</v>
      </c>
      <c r="AW20" t="s">
        <v>67</v>
      </c>
      <c r="AX20" t="s">
        <v>69</v>
      </c>
      <c r="AY20" t="s">
        <v>66</v>
      </c>
      <c r="AZ20" t="s">
        <v>68</v>
      </c>
      <c r="BA20" t="s">
        <v>70</v>
      </c>
      <c r="BB20" t="s">
        <v>70</v>
      </c>
      <c r="BC20" t="s">
        <v>70</v>
      </c>
      <c r="BD20" t="s">
        <v>70</v>
      </c>
      <c r="BE20" t="s">
        <v>66</v>
      </c>
      <c r="BF20" t="s">
        <v>68</v>
      </c>
      <c r="BG20" t="s">
        <v>65</v>
      </c>
      <c r="BH20" t="s">
        <v>71</v>
      </c>
      <c r="BJ20" t="s">
        <v>71</v>
      </c>
      <c r="BO20" t="s">
        <v>71</v>
      </c>
      <c r="BU20" t="s">
        <v>71</v>
      </c>
      <c r="BX20" t="s">
        <v>72</v>
      </c>
      <c r="BY20" t="s">
        <v>72</v>
      </c>
      <c r="BZ20" t="s">
        <v>73</v>
      </c>
    </row>
    <row r="21" spans="1:78" x14ac:dyDescent="0.25">
      <c r="A21">
        <v>45547.902482291669</v>
      </c>
      <c r="B21" t="s">
        <v>114</v>
      </c>
      <c r="C21">
        <v>2002</v>
      </c>
      <c r="D21" t="s">
        <v>59</v>
      </c>
      <c r="E21" t="s">
        <v>95</v>
      </c>
      <c r="F21" t="s">
        <v>112</v>
      </c>
      <c r="G21" t="s">
        <v>115</v>
      </c>
      <c r="H21" t="s">
        <v>62</v>
      </c>
      <c r="I21" t="s">
        <v>63</v>
      </c>
      <c r="J21" t="s">
        <v>64</v>
      </c>
      <c r="K21" s="1" t="s">
        <v>132</v>
      </c>
      <c r="L21" t="s">
        <v>65</v>
      </c>
      <c r="M21">
        <f t="shared" si="1"/>
        <v>-0.33</v>
      </c>
      <c r="N21" t="s">
        <v>66</v>
      </c>
      <c r="O21">
        <f t="shared" si="2"/>
        <v>-0.33</v>
      </c>
      <c r="P21" t="s">
        <v>65</v>
      </c>
      <c r="Q21">
        <f t="shared" si="3"/>
        <v>-0.33</v>
      </c>
      <c r="R21" t="s">
        <v>67</v>
      </c>
      <c r="S21">
        <f t="shared" si="4"/>
        <v>0.66</v>
      </c>
      <c r="T21" t="s">
        <v>69</v>
      </c>
      <c r="U21">
        <f t="shared" si="5"/>
        <v>0.66</v>
      </c>
      <c r="V21" t="s">
        <v>67</v>
      </c>
      <c r="W21">
        <f t="shared" si="6"/>
        <v>0.66</v>
      </c>
      <c r="X21" t="s">
        <v>68</v>
      </c>
      <c r="Y21">
        <f t="shared" si="7"/>
        <v>1</v>
      </c>
      <c r="Z21" t="s">
        <v>69</v>
      </c>
      <c r="AA21">
        <f t="shared" si="8"/>
        <v>-0.66</v>
      </c>
      <c r="AB21" s="2">
        <f t="shared" si="9"/>
        <v>1.33</v>
      </c>
      <c r="AC21" s="5">
        <f t="shared" si="0"/>
        <v>1.4962500000000001</v>
      </c>
      <c r="AD21" t="s">
        <v>66</v>
      </c>
      <c r="AE21">
        <f t="shared" si="10"/>
        <v>-0.33</v>
      </c>
      <c r="AF21" t="s">
        <v>67</v>
      </c>
      <c r="AG21">
        <f t="shared" si="11"/>
        <v>-0.66</v>
      </c>
      <c r="AH21" t="s">
        <v>70</v>
      </c>
      <c r="AI21">
        <f t="shared" si="12"/>
        <v>-1</v>
      </c>
      <c r="AJ21" t="s">
        <v>70</v>
      </c>
      <c r="AK21">
        <f t="shared" si="13"/>
        <v>-1</v>
      </c>
      <c r="AL21" t="s">
        <v>67</v>
      </c>
      <c r="AM21">
        <f t="shared" si="14"/>
        <v>-0.66</v>
      </c>
      <c r="AN21" t="s">
        <v>66</v>
      </c>
      <c r="AO21">
        <f t="shared" si="15"/>
        <v>0.33</v>
      </c>
      <c r="AP21" t="s">
        <v>66</v>
      </c>
      <c r="AQ21">
        <f t="shared" si="16"/>
        <v>0.33</v>
      </c>
      <c r="AR21" t="s">
        <v>67</v>
      </c>
      <c r="AS21">
        <f t="shared" si="17"/>
        <v>0.66</v>
      </c>
      <c r="AT21" t="s">
        <v>69</v>
      </c>
      <c r="AU21">
        <f t="shared" si="18"/>
        <v>0.66</v>
      </c>
      <c r="AV21" s="2">
        <f t="shared" si="19"/>
        <v>-1.67</v>
      </c>
      <c r="AW21" t="s">
        <v>67</v>
      </c>
      <c r="AX21" t="s">
        <v>67</v>
      </c>
      <c r="AY21" t="s">
        <v>66</v>
      </c>
      <c r="AZ21" t="s">
        <v>65</v>
      </c>
      <c r="BA21" t="s">
        <v>70</v>
      </c>
      <c r="BB21" t="s">
        <v>70</v>
      </c>
      <c r="BC21" t="s">
        <v>70</v>
      </c>
      <c r="BD21" t="s">
        <v>69</v>
      </c>
      <c r="BE21" t="s">
        <v>67</v>
      </c>
      <c r="BF21" t="s">
        <v>67</v>
      </c>
      <c r="BG21" t="s">
        <v>68</v>
      </c>
      <c r="BJ21" t="s">
        <v>71</v>
      </c>
      <c r="BU21" t="s">
        <v>71</v>
      </c>
      <c r="BV21" t="s">
        <v>71</v>
      </c>
      <c r="BX21" t="s">
        <v>103</v>
      </c>
      <c r="BY21" t="s">
        <v>72</v>
      </c>
      <c r="BZ21" t="s">
        <v>73</v>
      </c>
    </row>
    <row r="22" spans="1:78" x14ac:dyDescent="0.25">
      <c r="A22">
        <v>45547.903456527776</v>
      </c>
      <c r="B22" t="s">
        <v>116</v>
      </c>
      <c r="C22">
        <v>1999</v>
      </c>
      <c r="D22" t="s">
        <v>81</v>
      </c>
      <c r="E22" t="s">
        <v>60</v>
      </c>
      <c r="F22" t="s">
        <v>82</v>
      </c>
      <c r="G22" t="s">
        <v>82</v>
      </c>
      <c r="H22" t="s">
        <v>83</v>
      </c>
      <c r="I22" t="s">
        <v>89</v>
      </c>
      <c r="J22" t="s">
        <v>64</v>
      </c>
      <c r="K22" s="1" t="s">
        <v>132</v>
      </c>
      <c r="L22" t="s">
        <v>69</v>
      </c>
      <c r="M22">
        <f t="shared" si="1"/>
        <v>0.66</v>
      </c>
      <c r="N22" t="s">
        <v>65</v>
      </c>
      <c r="O22">
        <f t="shared" si="2"/>
        <v>0.33</v>
      </c>
      <c r="P22" t="s">
        <v>66</v>
      </c>
      <c r="Q22">
        <f t="shared" si="3"/>
        <v>0.33</v>
      </c>
      <c r="R22" t="s">
        <v>67</v>
      </c>
      <c r="S22">
        <f t="shared" si="4"/>
        <v>0.66</v>
      </c>
      <c r="T22" t="s">
        <v>65</v>
      </c>
      <c r="U22">
        <f t="shared" si="5"/>
        <v>-0.33</v>
      </c>
      <c r="V22" t="s">
        <v>68</v>
      </c>
      <c r="W22">
        <f t="shared" si="6"/>
        <v>1</v>
      </c>
      <c r="X22" t="s">
        <v>67</v>
      </c>
      <c r="Y22">
        <f t="shared" si="7"/>
        <v>0.66</v>
      </c>
      <c r="Z22" t="s">
        <v>85</v>
      </c>
      <c r="AA22">
        <f t="shared" si="8"/>
        <v>0.33</v>
      </c>
      <c r="AB22" s="2">
        <f t="shared" si="9"/>
        <v>3.64</v>
      </c>
      <c r="AC22" s="5">
        <f t="shared" si="0"/>
        <v>4.0949999999999998</v>
      </c>
      <c r="AD22" t="s">
        <v>70</v>
      </c>
      <c r="AE22">
        <f t="shared" si="10"/>
        <v>-1</v>
      </c>
      <c r="AF22" t="s">
        <v>67</v>
      </c>
      <c r="AG22">
        <f t="shared" si="11"/>
        <v>-0.66</v>
      </c>
      <c r="AH22" t="s">
        <v>65</v>
      </c>
      <c r="AI22">
        <f t="shared" si="12"/>
        <v>0.33</v>
      </c>
      <c r="AJ22" t="s">
        <v>69</v>
      </c>
      <c r="AK22">
        <f t="shared" si="13"/>
        <v>-0.66</v>
      </c>
      <c r="AL22" t="s">
        <v>65</v>
      </c>
      <c r="AM22">
        <f t="shared" si="14"/>
        <v>-0.33</v>
      </c>
      <c r="AN22" t="s">
        <v>69</v>
      </c>
      <c r="AO22">
        <f t="shared" si="15"/>
        <v>0.66</v>
      </c>
      <c r="AP22" t="s">
        <v>65</v>
      </c>
      <c r="AQ22">
        <f t="shared" si="16"/>
        <v>-0.33</v>
      </c>
      <c r="AR22" t="s">
        <v>68</v>
      </c>
      <c r="AS22">
        <f t="shared" si="17"/>
        <v>1</v>
      </c>
      <c r="AT22" t="s">
        <v>70</v>
      </c>
      <c r="AU22">
        <f t="shared" si="18"/>
        <v>1</v>
      </c>
      <c r="AV22" s="2">
        <f t="shared" si="19"/>
        <v>9.9999999999997868E-3</v>
      </c>
      <c r="AW22" t="s">
        <v>65</v>
      </c>
      <c r="AX22" t="s">
        <v>67</v>
      </c>
      <c r="AY22" t="s">
        <v>66</v>
      </c>
      <c r="AZ22" t="s">
        <v>70</v>
      </c>
      <c r="BA22" t="s">
        <v>70</v>
      </c>
      <c r="BB22" t="s">
        <v>68</v>
      </c>
      <c r="BC22" t="s">
        <v>68</v>
      </c>
      <c r="BD22" t="s">
        <v>68</v>
      </c>
      <c r="BE22" t="s">
        <v>66</v>
      </c>
      <c r="BF22" t="s">
        <v>69</v>
      </c>
      <c r="BG22" t="s">
        <v>69</v>
      </c>
      <c r="BH22" t="s">
        <v>71</v>
      </c>
      <c r="BX22" t="s">
        <v>73</v>
      </c>
      <c r="BY22" t="s">
        <v>98</v>
      </c>
      <c r="BZ22" t="s">
        <v>98</v>
      </c>
    </row>
    <row r="23" spans="1:78" x14ac:dyDescent="0.25">
      <c r="A23">
        <v>45549.732355775464</v>
      </c>
      <c r="B23" t="s">
        <v>117</v>
      </c>
      <c r="C23">
        <v>2002</v>
      </c>
      <c r="D23" t="s">
        <v>59</v>
      </c>
      <c r="E23" t="s">
        <v>60</v>
      </c>
      <c r="F23" t="s">
        <v>76</v>
      </c>
      <c r="G23" t="s">
        <v>76</v>
      </c>
      <c r="H23" t="s">
        <v>62</v>
      </c>
      <c r="I23" t="s">
        <v>63</v>
      </c>
      <c r="J23" t="s">
        <v>90</v>
      </c>
      <c r="K23" s="1" t="s">
        <v>132</v>
      </c>
      <c r="L23" t="s">
        <v>70</v>
      </c>
      <c r="M23">
        <f t="shared" si="1"/>
        <v>1</v>
      </c>
      <c r="N23" t="s">
        <v>65</v>
      </c>
      <c r="O23">
        <f t="shared" si="2"/>
        <v>0.33</v>
      </c>
      <c r="P23" t="s">
        <v>67</v>
      </c>
      <c r="Q23">
        <f t="shared" si="3"/>
        <v>-0.66</v>
      </c>
      <c r="R23" t="s">
        <v>67</v>
      </c>
      <c r="S23">
        <f t="shared" si="4"/>
        <v>0.66</v>
      </c>
      <c r="T23" t="s">
        <v>66</v>
      </c>
      <c r="U23">
        <f t="shared" si="5"/>
        <v>0.33</v>
      </c>
      <c r="V23" t="s">
        <v>67</v>
      </c>
      <c r="W23">
        <f t="shared" si="6"/>
        <v>0.66</v>
      </c>
      <c r="X23" t="s">
        <v>68</v>
      </c>
      <c r="Y23">
        <f t="shared" si="7"/>
        <v>1</v>
      </c>
      <c r="Z23" t="s">
        <v>68</v>
      </c>
      <c r="AA23">
        <f t="shared" si="8"/>
        <v>1</v>
      </c>
      <c r="AB23" s="2">
        <f t="shared" si="9"/>
        <v>4.32</v>
      </c>
      <c r="AC23" s="5">
        <f t="shared" si="0"/>
        <v>4.8600000000000003</v>
      </c>
      <c r="AD23" t="s">
        <v>66</v>
      </c>
      <c r="AE23">
        <f t="shared" si="10"/>
        <v>-0.33</v>
      </c>
      <c r="AF23" t="s">
        <v>66</v>
      </c>
      <c r="AG23">
        <f t="shared" si="11"/>
        <v>0.33</v>
      </c>
      <c r="AH23" t="s">
        <v>66</v>
      </c>
      <c r="AI23">
        <f t="shared" si="12"/>
        <v>-0.33</v>
      </c>
      <c r="AJ23" t="s">
        <v>65</v>
      </c>
      <c r="AK23">
        <f t="shared" si="13"/>
        <v>0.33</v>
      </c>
      <c r="AL23" t="s">
        <v>67</v>
      </c>
      <c r="AM23">
        <f t="shared" si="14"/>
        <v>-0.66</v>
      </c>
      <c r="AN23" t="s">
        <v>69</v>
      </c>
      <c r="AO23">
        <f t="shared" si="15"/>
        <v>0.66</v>
      </c>
      <c r="AP23" t="s">
        <v>68</v>
      </c>
      <c r="AQ23">
        <f t="shared" si="16"/>
        <v>-1</v>
      </c>
      <c r="AR23" t="s">
        <v>68</v>
      </c>
      <c r="AS23">
        <f t="shared" si="17"/>
        <v>1</v>
      </c>
      <c r="AT23" t="s">
        <v>70</v>
      </c>
      <c r="AU23">
        <f t="shared" si="18"/>
        <v>1</v>
      </c>
      <c r="AV23" s="2">
        <f t="shared" si="19"/>
        <v>1</v>
      </c>
      <c r="AW23" t="s">
        <v>65</v>
      </c>
      <c r="AX23" t="s">
        <v>67</v>
      </c>
      <c r="AY23" t="s">
        <v>67</v>
      </c>
      <c r="AZ23" t="s">
        <v>69</v>
      </c>
      <c r="BA23" t="s">
        <v>67</v>
      </c>
      <c r="BB23" t="s">
        <v>70</v>
      </c>
      <c r="BC23" t="s">
        <v>70</v>
      </c>
      <c r="BD23" t="s">
        <v>69</v>
      </c>
      <c r="BE23" t="s">
        <v>67</v>
      </c>
      <c r="BF23" t="s">
        <v>65</v>
      </c>
      <c r="BG23" t="s">
        <v>68</v>
      </c>
      <c r="BH23" t="s">
        <v>71</v>
      </c>
      <c r="BO23" t="s">
        <v>71</v>
      </c>
      <c r="BX23" t="s">
        <v>72</v>
      </c>
      <c r="BY23" t="s">
        <v>72</v>
      </c>
      <c r="BZ23" t="s">
        <v>73</v>
      </c>
    </row>
    <row r="24" spans="1:78" x14ac:dyDescent="0.25">
      <c r="A24">
        <v>45551.790654189812</v>
      </c>
      <c r="B24" t="s">
        <v>118</v>
      </c>
      <c r="C24">
        <v>2002</v>
      </c>
      <c r="D24" t="s">
        <v>59</v>
      </c>
      <c r="E24" t="s">
        <v>60</v>
      </c>
      <c r="F24" t="s">
        <v>96</v>
      </c>
      <c r="G24" t="s">
        <v>96</v>
      </c>
      <c r="H24" t="s">
        <v>83</v>
      </c>
      <c r="I24" t="s">
        <v>63</v>
      </c>
      <c r="J24" t="s">
        <v>90</v>
      </c>
      <c r="K24" s="1" t="s">
        <v>132</v>
      </c>
      <c r="L24" t="s">
        <v>69</v>
      </c>
      <c r="M24">
        <f t="shared" si="1"/>
        <v>0.66</v>
      </c>
      <c r="N24" t="s">
        <v>66</v>
      </c>
      <c r="O24">
        <f t="shared" si="2"/>
        <v>-0.33</v>
      </c>
      <c r="P24" t="s">
        <v>68</v>
      </c>
      <c r="Q24">
        <f t="shared" si="3"/>
        <v>-1</v>
      </c>
      <c r="R24" t="s">
        <v>67</v>
      </c>
      <c r="S24">
        <f t="shared" si="4"/>
        <v>0.66</v>
      </c>
      <c r="T24" t="s">
        <v>65</v>
      </c>
      <c r="U24">
        <f t="shared" si="5"/>
        <v>-0.33</v>
      </c>
      <c r="V24" t="s">
        <v>65</v>
      </c>
      <c r="W24">
        <f t="shared" si="6"/>
        <v>0.33</v>
      </c>
      <c r="X24" t="s">
        <v>66</v>
      </c>
      <c r="Y24">
        <f t="shared" si="7"/>
        <v>-0.33</v>
      </c>
      <c r="Z24" t="s">
        <v>70</v>
      </c>
      <c r="AA24">
        <f t="shared" si="8"/>
        <v>-1</v>
      </c>
      <c r="AB24" s="2">
        <f t="shared" si="9"/>
        <v>-1.3399999999999999</v>
      </c>
      <c r="AC24" s="5">
        <f t="shared" si="0"/>
        <v>-1.5074999999999998</v>
      </c>
      <c r="AD24" t="s">
        <v>65</v>
      </c>
      <c r="AE24">
        <f t="shared" si="10"/>
        <v>0.33</v>
      </c>
      <c r="AF24" t="s">
        <v>67</v>
      </c>
      <c r="AG24">
        <f t="shared" si="11"/>
        <v>-0.66</v>
      </c>
      <c r="AH24" t="s">
        <v>67</v>
      </c>
      <c r="AI24">
        <f t="shared" si="12"/>
        <v>0.66</v>
      </c>
      <c r="AJ24" t="s">
        <v>68</v>
      </c>
      <c r="AK24">
        <f t="shared" si="13"/>
        <v>1</v>
      </c>
      <c r="AL24" t="s">
        <v>67</v>
      </c>
      <c r="AM24">
        <f t="shared" si="14"/>
        <v>-0.66</v>
      </c>
      <c r="AN24" t="s">
        <v>67</v>
      </c>
      <c r="AO24">
        <f t="shared" si="15"/>
        <v>-0.66</v>
      </c>
      <c r="AP24" t="s">
        <v>68</v>
      </c>
      <c r="AQ24">
        <f t="shared" si="16"/>
        <v>-1</v>
      </c>
      <c r="AR24" t="s">
        <v>67</v>
      </c>
      <c r="AS24">
        <f t="shared" si="17"/>
        <v>0.66</v>
      </c>
      <c r="AT24" t="s">
        <v>69</v>
      </c>
      <c r="AU24">
        <f t="shared" si="18"/>
        <v>0.66</v>
      </c>
      <c r="AV24" s="2">
        <f t="shared" si="19"/>
        <v>0.33</v>
      </c>
      <c r="AW24" t="s">
        <v>67</v>
      </c>
      <c r="AX24" t="s">
        <v>67</v>
      </c>
      <c r="AY24" t="s">
        <v>65</v>
      </c>
      <c r="AZ24" t="s">
        <v>65</v>
      </c>
      <c r="BA24" t="s">
        <v>69</v>
      </c>
      <c r="BB24" t="s">
        <v>65</v>
      </c>
      <c r="BC24" t="s">
        <v>65</v>
      </c>
      <c r="BD24" t="s">
        <v>65</v>
      </c>
      <c r="BE24" t="s">
        <v>69</v>
      </c>
      <c r="BF24" t="s">
        <v>67</v>
      </c>
      <c r="BG24" t="s">
        <v>67</v>
      </c>
      <c r="BL24" t="s">
        <v>71</v>
      </c>
      <c r="BX24" t="s">
        <v>73</v>
      </c>
      <c r="BY24" t="s">
        <v>72</v>
      </c>
      <c r="BZ24" t="s">
        <v>73</v>
      </c>
    </row>
    <row r="25" spans="1:78" x14ac:dyDescent="0.25">
      <c r="A25">
        <v>45553.853533576388</v>
      </c>
      <c r="B25" t="s">
        <v>119</v>
      </c>
      <c r="C25">
        <v>1997</v>
      </c>
      <c r="D25" t="s">
        <v>75</v>
      </c>
      <c r="E25" t="s">
        <v>60</v>
      </c>
      <c r="F25" t="s">
        <v>76</v>
      </c>
      <c r="G25" t="s">
        <v>76</v>
      </c>
      <c r="H25" t="s">
        <v>113</v>
      </c>
      <c r="I25" t="s">
        <v>89</v>
      </c>
      <c r="J25" t="s">
        <v>90</v>
      </c>
      <c r="K25" s="1" t="s">
        <v>132</v>
      </c>
      <c r="L25" t="s">
        <v>65</v>
      </c>
      <c r="M25">
        <f t="shared" si="1"/>
        <v>-0.33</v>
      </c>
      <c r="N25" t="s">
        <v>66</v>
      </c>
      <c r="O25">
        <f t="shared" si="2"/>
        <v>-0.33</v>
      </c>
      <c r="P25" t="s">
        <v>67</v>
      </c>
      <c r="Q25">
        <f t="shared" si="3"/>
        <v>-0.66</v>
      </c>
      <c r="R25" t="s">
        <v>67</v>
      </c>
      <c r="S25">
        <f t="shared" si="4"/>
        <v>0.66</v>
      </c>
      <c r="T25" t="s">
        <v>65</v>
      </c>
      <c r="U25">
        <f t="shared" si="5"/>
        <v>-0.33</v>
      </c>
      <c r="V25" t="s">
        <v>66</v>
      </c>
      <c r="W25">
        <f t="shared" si="6"/>
        <v>-0.33</v>
      </c>
      <c r="X25" t="s">
        <v>66</v>
      </c>
      <c r="Y25">
        <f t="shared" si="7"/>
        <v>-0.33</v>
      </c>
      <c r="Z25" t="s">
        <v>66</v>
      </c>
      <c r="AA25">
        <f t="shared" si="8"/>
        <v>-0.33</v>
      </c>
      <c r="AB25" s="2">
        <f t="shared" si="9"/>
        <v>-1.9800000000000002</v>
      </c>
      <c r="AC25" s="5">
        <f t="shared" si="0"/>
        <v>-2.2275</v>
      </c>
      <c r="AD25" t="s">
        <v>67</v>
      </c>
      <c r="AE25">
        <f t="shared" si="10"/>
        <v>0.66</v>
      </c>
      <c r="AF25" t="s">
        <v>66</v>
      </c>
      <c r="AG25">
        <f t="shared" si="11"/>
        <v>0.33</v>
      </c>
      <c r="AH25" t="s">
        <v>70</v>
      </c>
      <c r="AI25">
        <f t="shared" si="12"/>
        <v>-1</v>
      </c>
      <c r="AJ25" t="s">
        <v>70</v>
      </c>
      <c r="AK25">
        <f t="shared" si="13"/>
        <v>-1</v>
      </c>
      <c r="AL25" t="s">
        <v>69</v>
      </c>
      <c r="AM25">
        <f t="shared" si="14"/>
        <v>0.66</v>
      </c>
      <c r="AN25" t="s">
        <v>65</v>
      </c>
      <c r="AO25">
        <f t="shared" si="15"/>
        <v>-0.33</v>
      </c>
      <c r="AP25" t="s">
        <v>66</v>
      </c>
      <c r="AQ25">
        <f t="shared" si="16"/>
        <v>0.33</v>
      </c>
      <c r="AR25" t="s">
        <v>66</v>
      </c>
      <c r="AS25">
        <f t="shared" si="17"/>
        <v>-0.33</v>
      </c>
      <c r="AT25" t="s">
        <v>70</v>
      </c>
      <c r="AU25">
        <f t="shared" si="18"/>
        <v>1</v>
      </c>
      <c r="AV25" s="2">
        <f t="shared" si="19"/>
        <v>0.32000000000000012</v>
      </c>
      <c r="AW25" t="s">
        <v>70</v>
      </c>
      <c r="AX25" t="s">
        <v>65</v>
      </c>
      <c r="AY25" t="s">
        <v>65</v>
      </c>
      <c r="AZ25" t="s">
        <v>65</v>
      </c>
      <c r="BA25" t="s">
        <v>68</v>
      </c>
      <c r="BB25" t="s">
        <v>70</v>
      </c>
      <c r="BC25" t="s">
        <v>69</v>
      </c>
      <c r="BD25" t="s">
        <v>66</v>
      </c>
      <c r="BE25" t="s">
        <v>70</v>
      </c>
      <c r="BF25" t="s">
        <v>65</v>
      </c>
      <c r="BG25" t="s">
        <v>68</v>
      </c>
      <c r="BM25" t="s">
        <v>71</v>
      </c>
      <c r="BP25" t="s">
        <v>71</v>
      </c>
      <c r="BX25" t="s">
        <v>79</v>
      </c>
      <c r="BY25" t="s">
        <v>79</v>
      </c>
      <c r="BZ25" t="s">
        <v>79</v>
      </c>
    </row>
    <row r="26" spans="1:78" x14ac:dyDescent="0.25">
      <c r="A26">
        <v>45553.862978541671</v>
      </c>
      <c r="B26" t="s">
        <v>120</v>
      </c>
      <c r="C26">
        <v>2001</v>
      </c>
      <c r="D26" t="s">
        <v>59</v>
      </c>
      <c r="E26" t="s">
        <v>95</v>
      </c>
      <c r="F26" t="s">
        <v>96</v>
      </c>
      <c r="G26" t="s">
        <v>96</v>
      </c>
      <c r="H26" t="s">
        <v>62</v>
      </c>
      <c r="I26" t="s">
        <v>63</v>
      </c>
      <c r="J26" t="s">
        <v>77</v>
      </c>
      <c r="K26" s="1" t="s">
        <v>132</v>
      </c>
      <c r="L26" t="s">
        <v>68</v>
      </c>
      <c r="M26">
        <f t="shared" si="1"/>
        <v>-1</v>
      </c>
      <c r="N26" t="s">
        <v>69</v>
      </c>
      <c r="O26">
        <f t="shared" si="2"/>
        <v>-0.66</v>
      </c>
      <c r="P26" t="s">
        <v>70</v>
      </c>
      <c r="Q26">
        <f t="shared" si="3"/>
        <v>1</v>
      </c>
      <c r="R26" t="s">
        <v>67</v>
      </c>
      <c r="S26">
        <f t="shared" si="4"/>
        <v>0.66</v>
      </c>
      <c r="T26" t="s">
        <v>65</v>
      </c>
      <c r="U26">
        <f t="shared" si="5"/>
        <v>-0.33</v>
      </c>
      <c r="V26" t="s">
        <v>65</v>
      </c>
      <c r="W26">
        <f t="shared" si="6"/>
        <v>0.33</v>
      </c>
      <c r="X26" t="s">
        <v>68</v>
      </c>
      <c r="Y26">
        <f t="shared" si="7"/>
        <v>1</v>
      </c>
      <c r="Z26" t="s">
        <v>69</v>
      </c>
      <c r="AA26">
        <f t="shared" si="8"/>
        <v>-0.66</v>
      </c>
      <c r="AB26" s="2">
        <f t="shared" si="9"/>
        <v>0.33999999999999986</v>
      </c>
      <c r="AC26" s="5">
        <f t="shared" si="0"/>
        <v>0.38249999999999984</v>
      </c>
      <c r="AD26" t="s">
        <v>70</v>
      </c>
      <c r="AE26">
        <f t="shared" si="10"/>
        <v>-1</v>
      </c>
      <c r="AF26" t="s">
        <v>68</v>
      </c>
      <c r="AG26">
        <f t="shared" si="11"/>
        <v>-1</v>
      </c>
      <c r="AH26" t="s">
        <v>65</v>
      </c>
      <c r="AI26">
        <f t="shared" si="12"/>
        <v>0.33</v>
      </c>
      <c r="AJ26" t="s">
        <v>70</v>
      </c>
      <c r="AK26">
        <f t="shared" si="13"/>
        <v>-1</v>
      </c>
      <c r="AL26" t="s">
        <v>67</v>
      </c>
      <c r="AM26">
        <f t="shared" si="14"/>
        <v>-0.66</v>
      </c>
      <c r="AN26" t="s">
        <v>70</v>
      </c>
      <c r="AO26">
        <f t="shared" si="15"/>
        <v>1</v>
      </c>
      <c r="AP26" t="s">
        <v>65</v>
      </c>
      <c r="AQ26">
        <f t="shared" si="16"/>
        <v>-0.33</v>
      </c>
      <c r="AR26" t="s">
        <v>68</v>
      </c>
      <c r="AS26">
        <f t="shared" si="17"/>
        <v>1</v>
      </c>
      <c r="AT26" t="s">
        <v>70</v>
      </c>
      <c r="AU26">
        <f t="shared" si="18"/>
        <v>1</v>
      </c>
      <c r="AV26" s="2">
        <f t="shared" si="19"/>
        <v>-0.66000000000000014</v>
      </c>
      <c r="AW26" t="s">
        <v>65</v>
      </c>
      <c r="AX26" t="s">
        <v>65</v>
      </c>
      <c r="AY26" t="s">
        <v>66</v>
      </c>
      <c r="AZ26" t="s">
        <v>65</v>
      </c>
      <c r="BA26" t="s">
        <v>69</v>
      </c>
      <c r="BB26" t="s">
        <v>70</v>
      </c>
      <c r="BC26" t="s">
        <v>70</v>
      </c>
      <c r="BD26" t="s">
        <v>70</v>
      </c>
      <c r="BE26" t="s">
        <v>68</v>
      </c>
      <c r="BF26" t="s">
        <v>67</v>
      </c>
      <c r="BG26" t="s">
        <v>66</v>
      </c>
      <c r="BH26" t="s">
        <v>71</v>
      </c>
      <c r="BR26" t="s">
        <v>71</v>
      </c>
      <c r="BX26" t="s">
        <v>73</v>
      </c>
      <c r="BY26" t="s">
        <v>73</v>
      </c>
      <c r="BZ26" t="s">
        <v>73</v>
      </c>
    </row>
    <row r="27" spans="1:78" x14ac:dyDescent="0.25">
      <c r="A27">
        <v>45553.880205821755</v>
      </c>
      <c r="B27" t="s">
        <v>121</v>
      </c>
      <c r="C27">
        <v>2000</v>
      </c>
      <c r="D27" t="s">
        <v>75</v>
      </c>
      <c r="E27" t="s">
        <v>60</v>
      </c>
      <c r="F27" t="s">
        <v>112</v>
      </c>
      <c r="G27" t="s">
        <v>82</v>
      </c>
      <c r="H27" t="s">
        <v>113</v>
      </c>
      <c r="I27" t="s">
        <v>122</v>
      </c>
      <c r="J27" t="s">
        <v>64</v>
      </c>
      <c r="K27" s="1" t="s">
        <v>132</v>
      </c>
      <c r="L27" t="s">
        <v>67</v>
      </c>
      <c r="M27">
        <f t="shared" si="1"/>
        <v>-0.66</v>
      </c>
      <c r="N27" t="s">
        <v>66</v>
      </c>
      <c r="O27">
        <f t="shared" si="2"/>
        <v>-0.33</v>
      </c>
      <c r="P27" t="s">
        <v>67</v>
      </c>
      <c r="Q27">
        <f t="shared" si="3"/>
        <v>-0.66</v>
      </c>
      <c r="R27" t="s">
        <v>65</v>
      </c>
      <c r="S27">
        <f t="shared" si="4"/>
        <v>0.33</v>
      </c>
      <c r="T27" t="s">
        <v>67</v>
      </c>
      <c r="U27">
        <f t="shared" si="5"/>
        <v>-0.66</v>
      </c>
      <c r="V27" t="s">
        <v>67</v>
      </c>
      <c r="W27">
        <f t="shared" si="6"/>
        <v>0.66</v>
      </c>
      <c r="X27" t="s">
        <v>66</v>
      </c>
      <c r="Y27">
        <f t="shared" si="7"/>
        <v>-0.33</v>
      </c>
      <c r="Z27" t="s">
        <v>69</v>
      </c>
      <c r="AA27">
        <f t="shared" si="8"/>
        <v>-0.66</v>
      </c>
      <c r="AB27" s="2">
        <f t="shared" si="9"/>
        <v>-2.31</v>
      </c>
      <c r="AC27" s="5">
        <f t="shared" si="0"/>
        <v>-2.5987499999999999</v>
      </c>
      <c r="AD27" t="s">
        <v>66</v>
      </c>
      <c r="AE27">
        <f t="shared" si="10"/>
        <v>-0.33</v>
      </c>
      <c r="AF27" t="s">
        <v>67</v>
      </c>
      <c r="AG27">
        <f t="shared" si="11"/>
        <v>-0.66</v>
      </c>
      <c r="AH27" t="s">
        <v>69</v>
      </c>
      <c r="AI27">
        <f t="shared" si="12"/>
        <v>-0.66</v>
      </c>
      <c r="AJ27" t="s">
        <v>69</v>
      </c>
      <c r="AK27">
        <f t="shared" si="13"/>
        <v>-0.66</v>
      </c>
      <c r="AL27" t="s">
        <v>68</v>
      </c>
      <c r="AM27">
        <f t="shared" si="14"/>
        <v>-1</v>
      </c>
      <c r="AN27" t="s">
        <v>69</v>
      </c>
      <c r="AO27">
        <f t="shared" si="15"/>
        <v>0.66</v>
      </c>
      <c r="AP27" t="s">
        <v>67</v>
      </c>
      <c r="AQ27">
        <f t="shared" si="16"/>
        <v>-0.66</v>
      </c>
      <c r="AR27" t="s">
        <v>67</v>
      </c>
      <c r="AS27">
        <f t="shared" si="17"/>
        <v>0.66</v>
      </c>
      <c r="AT27" t="s">
        <v>69</v>
      </c>
      <c r="AU27">
        <f t="shared" si="18"/>
        <v>0.66</v>
      </c>
      <c r="AV27" s="2">
        <f t="shared" si="19"/>
        <v>-1.9900000000000002</v>
      </c>
      <c r="AW27" t="s">
        <v>67</v>
      </c>
      <c r="AX27" t="s">
        <v>67</v>
      </c>
      <c r="AY27" t="s">
        <v>69</v>
      </c>
      <c r="AZ27" t="s">
        <v>66</v>
      </c>
      <c r="BA27" t="s">
        <v>66</v>
      </c>
      <c r="BB27" t="s">
        <v>66</v>
      </c>
      <c r="BC27" t="s">
        <v>66</v>
      </c>
      <c r="BD27" t="s">
        <v>66</v>
      </c>
      <c r="BE27" t="s">
        <v>67</v>
      </c>
      <c r="BF27" t="s">
        <v>67</v>
      </c>
      <c r="BG27" t="s">
        <v>67</v>
      </c>
      <c r="BH27" t="s">
        <v>71</v>
      </c>
      <c r="BI27" t="s">
        <v>71</v>
      </c>
      <c r="BJ27" t="s">
        <v>71</v>
      </c>
      <c r="BK27" t="s">
        <v>71</v>
      </c>
      <c r="BL27" t="s">
        <v>71</v>
      </c>
      <c r="BM27" t="s">
        <v>71</v>
      </c>
      <c r="BN27" t="s">
        <v>71</v>
      </c>
      <c r="BO27" t="s">
        <v>71</v>
      </c>
      <c r="BP27" t="s">
        <v>71</v>
      </c>
      <c r="BQ27" t="s">
        <v>71</v>
      </c>
      <c r="BR27" t="s">
        <v>71</v>
      </c>
      <c r="BS27" t="s">
        <v>71</v>
      </c>
      <c r="BT27" t="s">
        <v>71</v>
      </c>
      <c r="BU27" t="s">
        <v>71</v>
      </c>
      <c r="BV27" t="s">
        <v>71</v>
      </c>
      <c r="BW27" t="s">
        <v>71</v>
      </c>
      <c r="BX27" t="s">
        <v>123</v>
      </c>
      <c r="BY27" t="s">
        <v>98</v>
      </c>
      <c r="BZ27" t="s">
        <v>98</v>
      </c>
    </row>
    <row r="28" spans="1:78" x14ac:dyDescent="0.25">
      <c r="A28">
        <v>45554.362967569439</v>
      </c>
      <c r="B28" t="s">
        <v>124</v>
      </c>
      <c r="C28">
        <v>2001</v>
      </c>
      <c r="D28" t="s">
        <v>59</v>
      </c>
      <c r="E28" t="s">
        <v>95</v>
      </c>
      <c r="F28" t="s">
        <v>76</v>
      </c>
      <c r="G28" t="s">
        <v>76</v>
      </c>
      <c r="H28" t="s">
        <v>62</v>
      </c>
      <c r="I28" t="s">
        <v>63</v>
      </c>
      <c r="J28" t="s">
        <v>90</v>
      </c>
      <c r="K28" s="1" t="s">
        <v>132</v>
      </c>
      <c r="L28" t="s">
        <v>66</v>
      </c>
      <c r="M28">
        <f t="shared" si="1"/>
        <v>0.33</v>
      </c>
      <c r="N28" t="s">
        <v>65</v>
      </c>
      <c r="O28">
        <f t="shared" si="2"/>
        <v>0.33</v>
      </c>
      <c r="P28" t="s">
        <v>67</v>
      </c>
      <c r="Q28">
        <f t="shared" si="3"/>
        <v>-0.66</v>
      </c>
      <c r="R28" t="s">
        <v>65</v>
      </c>
      <c r="S28">
        <f t="shared" si="4"/>
        <v>0.33</v>
      </c>
      <c r="T28" t="s">
        <v>66</v>
      </c>
      <c r="U28">
        <f t="shared" si="5"/>
        <v>0.33</v>
      </c>
      <c r="V28" t="s">
        <v>66</v>
      </c>
      <c r="W28">
        <f t="shared" si="6"/>
        <v>-0.33</v>
      </c>
      <c r="X28" t="s">
        <v>67</v>
      </c>
      <c r="Y28">
        <f t="shared" si="7"/>
        <v>0.66</v>
      </c>
      <c r="Z28" t="s">
        <v>69</v>
      </c>
      <c r="AA28">
        <f t="shared" si="8"/>
        <v>-0.66</v>
      </c>
      <c r="AB28" s="2">
        <f t="shared" si="9"/>
        <v>0.33</v>
      </c>
      <c r="AC28" s="5">
        <f t="shared" si="0"/>
        <v>0.37125000000000002</v>
      </c>
      <c r="AD28" t="s">
        <v>66</v>
      </c>
      <c r="AE28">
        <f t="shared" si="10"/>
        <v>-0.33</v>
      </c>
      <c r="AF28" t="s">
        <v>67</v>
      </c>
      <c r="AG28">
        <f t="shared" si="11"/>
        <v>-0.66</v>
      </c>
      <c r="AH28" t="s">
        <v>69</v>
      </c>
      <c r="AI28">
        <f t="shared" si="12"/>
        <v>-0.66</v>
      </c>
      <c r="AJ28" t="s">
        <v>70</v>
      </c>
      <c r="AK28">
        <f t="shared" si="13"/>
        <v>-1</v>
      </c>
      <c r="AL28" t="s">
        <v>65</v>
      </c>
      <c r="AM28">
        <f t="shared" si="14"/>
        <v>-0.33</v>
      </c>
      <c r="AN28" t="s">
        <v>69</v>
      </c>
      <c r="AO28">
        <f t="shared" si="15"/>
        <v>0.66</v>
      </c>
      <c r="AP28" t="s">
        <v>65</v>
      </c>
      <c r="AQ28">
        <f t="shared" si="16"/>
        <v>-0.33</v>
      </c>
      <c r="AR28" t="s">
        <v>67</v>
      </c>
      <c r="AS28">
        <f t="shared" si="17"/>
        <v>0.66</v>
      </c>
      <c r="AT28" t="s">
        <v>70</v>
      </c>
      <c r="AU28">
        <f t="shared" si="18"/>
        <v>1</v>
      </c>
      <c r="AV28" s="2">
        <f t="shared" si="19"/>
        <v>-0.99</v>
      </c>
      <c r="AW28" t="s">
        <v>67</v>
      </c>
      <c r="AX28" t="s">
        <v>65</v>
      </c>
      <c r="AY28" t="s">
        <v>70</v>
      </c>
      <c r="AZ28" t="s">
        <v>69</v>
      </c>
      <c r="BA28" t="s">
        <v>70</v>
      </c>
      <c r="BB28" t="s">
        <v>65</v>
      </c>
      <c r="BC28" t="s">
        <v>66</v>
      </c>
      <c r="BD28" t="s">
        <v>67</v>
      </c>
      <c r="BE28" t="s">
        <v>68</v>
      </c>
      <c r="BF28" t="s">
        <v>66</v>
      </c>
      <c r="BG28" t="s">
        <v>66</v>
      </c>
      <c r="BH28" t="s">
        <v>71</v>
      </c>
      <c r="BL28" t="s">
        <v>71</v>
      </c>
      <c r="BM28" t="s">
        <v>71</v>
      </c>
      <c r="BO28" t="s">
        <v>71</v>
      </c>
      <c r="BR28" t="s">
        <v>71</v>
      </c>
      <c r="BX28" t="s">
        <v>72</v>
      </c>
      <c r="BY28" t="s">
        <v>73</v>
      </c>
      <c r="BZ28" t="s">
        <v>73</v>
      </c>
    </row>
    <row r="29" spans="1:78" x14ac:dyDescent="0.25">
      <c r="A29">
        <v>45554.667973495365</v>
      </c>
      <c r="B29" t="s">
        <v>125</v>
      </c>
      <c r="C29">
        <v>2002</v>
      </c>
      <c r="D29" t="s">
        <v>59</v>
      </c>
      <c r="E29" t="s">
        <v>95</v>
      </c>
      <c r="F29" t="s">
        <v>61</v>
      </c>
      <c r="G29" t="s">
        <v>61</v>
      </c>
      <c r="H29" t="s">
        <v>83</v>
      </c>
      <c r="I29" t="s">
        <v>63</v>
      </c>
      <c r="J29" t="s">
        <v>64</v>
      </c>
      <c r="K29" s="1" t="s">
        <v>132</v>
      </c>
      <c r="L29" t="s">
        <v>69</v>
      </c>
      <c r="M29">
        <f t="shared" si="1"/>
        <v>0.66</v>
      </c>
      <c r="N29" t="s">
        <v>68</v>
      </c>
      <c r="O29">
        <f t="shared" si="2"/>
        <v>1</v>
      </c>
      <c r="P29" t="s">
        <v>70</v>
      </c>
      <c r="Q29">
        <f t="shared" si="3"/>
        <v>1</v>
      </c>
      <c r="R29" t="s">
        <v>67</v>
      </c>
      <c r="S29">
        <f t="shared" si="4"/>
        <v>0.66</v>
      </c>
      <c r="T29" t="s">
        <v>69</v>
      </c>
      <c r="U29">
        <f t="shared" si="5"/>
        <v>0.66</v>
      </c>
      <c r="V29" t="s">
        <v>69</v>
      </c>
      <c r="W29">
        <f t="shared" si="6"/>
        <v>-0.66</v>
      </c>
      <c r="X29" t="s">
        <v>67</v>
      </c>
      <c r="Y29">
        <f t="shared" si="7"/>
        <v>0.66</v>
      </c>
      <c r="Z29" t="s">
        <v>69</v>
      </c>
      <c r="AA29">
        <f t="shared" si="8"/>
        <v>-0.66</v>
      </c>
      <c r="AB29" s="2">
        <f t="shared" si="9"/>
        <v>3.3200000000000003</v>
      </c>
      <c r="AC29" s="5">
        <f t="shared" si="0"/>
        <v>3.7350000000000003</v>
      </c>
      <c r="AD29" t="s">
        <v>69</v>
      </c>
      <c r="AE29">
        <f t="shared" si="10"/>
        <v>-0.66</v>
      </c>
      <c r="AF29" t="s">
        <v>68</v>
      </c>
      <c r="AG29">
        <f t="shared" si="11"/>
        <v>-1</v>
      </c>
      <c r="AH29" t="s">
        <v>65</v>
      </c>
      <c r="AI29">
        <f t="shared" si="12"/>
        <v>0.33</v>
      </c>
      <c r="AJ29" t="s">
        <v>65</v>
      </c>
      <c r="AK29">
        <f t="shared" si="13"/>
        <v>0.33</v>
      </c>
      <c r="AL29" t="s">
        <v>68</v>
      </c>
      <c r="AM29">
        <f t="shared" si="14"/>
        <v>-1</v>
      </c>
      <c r="AN29" t="s">
        <v>70</v>
      </c>
      <c r="AO29">
        <f t="shared" si="15"/>
        <v>1</v>
      </c>
      <c r="AP29" t="s">
        <v>69</v>
      </c>
      <c r="AQ29">
        <f t="shared" si="16"/>
        <v>0.66</v>
      </c>
      <c r="AR29" t="s">
        <v>68</v>
      </c>
      <c r="AS29">
        <f t="shared" si="17"/>
        <v>1</v>
      </c>
      <c r="AT29" t="s">
        <v>67</v>
      </c>
      <c r="AU29">
        <f t="shared" si="18"/>
        <v>-0.66</v>
      </c>
      <c r="AV29" s="2">
        <f t="shared" si="19"/>
        <v>0</v>
      </c>
      <c r="AW29" t="s">
        <v>67</v>
      </c>
      <c r="AX29" t="s">
        <v>65</v>
      </c>
      <c r="AY29" t="s">
        <v>66</v>
      </c>
      <c r="AZ29" t="s">
        <v>66</v>
      </c>
      <c r="BA29" t="s">
        <v>65</v>
      </c>
      <c r="BB29" t="s">
        <v>66</v>
      </c>
      <c r="BC29" t="s">
        <v>66</v>
      </c>
      <c r="BD29" t="s">
        <v>69</v>
      </c>
      <c r="BE29" t="s">
        <v>69</v>
      </c>
      <c r="BF29" t="s">
        <v>67</v>
      </c>
      <c r="BG29" t="s">
        <v>66</v>
      </c>
      <c r="BH29" t="s">
        <v>71</v>
      </c>
      <c r="BM29" t="s">
        <v>71</v>
      </c>
      <c r="BR29" t="s">
        <v>71</v>
      </c>
      <c r="BX29" t="s">
        <v>72</v>
      </c>
      <c r="BY29" t="s">
        <v>73</v>
      </c>
      <c r="BZ29" t="s">
        <v>73</v>
      </c>
    </row>
    <row r="30" spans="1:78" x14ac:dyDescent="0.25">
      <c r="A30">
        <v>45554.826449247688</v>
      </c>
      <c r="B30" t="s">
        <v>126</v>
      </c>
      <c r="C30">
        <v>2002</v>
      </c>
      <c r="D30" t="s">
        <v>81</v>
      </c>
      <c r="E30" t="s">
        <v>60</v>
      </c>
      <c r="F30" t="s">
        <v>82</v>
      </c>
      <c r="G30" t="s">
        <v>82</v>
      </c>
      <c r="H30" t="s">
        <v>113</v>
      </c>
      <c r="I30" t="s">
        <v>89</v>
      </c>
      <c r="J30" t="s">
        <v>90</v>
      </c>
      <c r="K30" s="1" t="s">
        <v>132</v>
      </c>
      <c r="L30" t="s">
        <v>66</v>
      </c>
      <c r="M30">
        <f t="shared" si="1"/>
        <v>0.33</v>
      </c>
      <c r="N30" t="s">
        <v>66</v>
      </c>
      <c r="O30">
        <f t="shared" si="2"/>
        <v>-0.33</v>
      </c>
      <c r="P30" t="s">
        <v>68</v>
      </c>
      <c r="Q30">
        <f t="shared" si="3"/>
        <v>-1</v>
      </c>
      <c r="R30" t="s">
        <v>67</v>
      </c>
      <c r="S30">
        <f t="shared" si="4"/>
        <v>0.66</v>
      </c>
      <c r="T30" t="s">
        <v>66</v>
      </c>
      <c r="U30">
        <f t="shared" si="5"/>
        <v>0.33</v>
      </c>
      <c r="V30" t="s">
        <v>66</v>
      </c>
      <c r="W30">
        <f t="shared" si="6"/>
        <v>-0.33</v>
      </c>
      <c r="X30" t="s">
        <v>65</v>
      </c>
      <c r="Y30">
        <f t="shared" si="7"/>
        <v>0.33</v>
      </c>
      <c r="Z30" t="s">
        <v>69</v>
      </c>
      <c r="AA30">
        <f t="shared" si="8"/>
        <v>-0.66</v>
      </c>
      <c r="AB30" s="2">
        <f t="shared" si="9"/>
        <v>-0.66999999999999993</v>
      </c>
      <c r="AC30" s="5">
        <f t="shared" si="0"/>
        <v>-0.75374999999999992</v>
      </c>
      <c r="AD30" t="s">
        <v>65</v>
      </c>
      <c r="AE30">
        <f t="shared" si="10"/>
        <v>0.33</v>
      </c>
      <c r="AF30" t="s">
        <v>67</v>
      </c>
      <c r="AG30">
        <f t="shared" si="11"/>
        <v>-0.66</v>
      </c>
      <c r="AH30" t="s">
        <v>70</v>
      </c>
      <c r="AI30">
        <f t="shared" si="12"/>
        <v>-1</v>
      </c>
      <c r="AJ30" t="s">
        <v>70</v>
      </c>
      <c r="AK30">
        <f t="shared" si="13"/>
        <v>-1</v>
      </c>
      <c r="AL30" t="s">
        <v>66</v>
      </c>
      <c r="AM30">
        <f t="shared" si="14"/>
        <v>0.33</v>
      </c>
      <c r="AN30" t="s">
        <v>66</v>
      </c>
      <c r="AO30">
        <f t="shared" si="15"/>
        <v>0.33</v>
      </c>
      <c r="AP30" t="s">
        <v>65</v>
      </c>
      <c r="AQ30">
        <f t="shared" si="16"/>
        <v>-0.33</v>
      </c>
      <c r="AR30" t="s">
        <v>66</v>
      </c>
      <c r="AS30">
        <f t="shared" si="17"/>
        <v>-0.33</v>
      </c>
      <c r="AT30" t="s">
        <v>70</v>
      </c>
      <c r="AU30">
        <f t="shared" si="18"/>
        <v>1</v>
      </c>
      <c r="AV30" s="2">
        <f t="shared" si="19"/>
        <v>-1.33</v>
      </c>
      <c r="AW30" t="s">
        <v>67</v>
      </c>
      <c r="AX30" t="s">
        <v>67</v>
      </c>
      <c r="AY30" t="s">
        <v>66</v>
      </c>
      <c r="AZ30" t="s">
        <v>66</v>
      </c>
      <c r="BA30" t="s">
        <v>70</v>
      </c>
      <c r="BB30" t="s">
        <v>66</v>
      </c>
      <c r="BC30" t="s">
        <v>69</v>
      </c>
      <c r="BD30" t="s">
        <v>66</v>
      </c>
      <c r="BE30" t="s">
        <v>69</v>
      </c>
      <c r="BF30" t="s">
        <v>67</v>
      </c>
      <c r="BG30" t="s">
        <v>65</v>
      </c>
      <c r="BK30" t="s">
        <v>71</v>
      </c>
      <c r="BM30" t="s">
        <v>71</v>
      </c>
      <c r="BX30" t="s">
        <v>72</v>
      </c>
      <c r="BY30" t="s">
        <v>72</v>
      </c>
      <c r="BZ30" t="s">
        <v>73</v>
      </c>
    </row>
    <row r="31" spans="1:78" x14ac:dyDescent="0.25">
      <c r="A31">
        <v>45556.729685636572</v>
      </c>
      <c r="B31" t="s">
        <v>127</v>
      </c>
      <c r="C31">
        <v>2000</v>
      </c>
      <c r="D31" t="s">
        <v>75</v>
      </c>
      <c r="E31" t="s">
        <v>95</v>
      </c>
      <c r="F31" t="s">
        <v>96</v>
      </c>
      <c r="G31" t="s">
        <v>76</v>
      </c>
      <c r="H31" t="s">
        <v>83</v>
      </c>
      <c r="I31" t="s">
        <v>128</v>
      </c>
      <c r="J31" t="s">
        <v>90</v>
      </c>
      <c r="K31" s="1" t="s">
        <v>132</v>
      </c>
      <c r="L31" t="s">
        <v>68</v>
      </c>
      <c r="M31">
        <f t="shared" si="1"/>
        <v>-1</v>
      </c>
      <c r="N31" t="s">
        <v>70</v>
      </c>
      <c r="O31">
        <f t="shared" si="2"/>
        <v>-1</v>
      </c>
      <c r="P31" t="s">
        <v>68</v>
      </c>
      <c r="Q31">
        <f t="shared" si="3"/>
        <v>-1</v>
      </c>
      <c r="R31" t="s">
        <v>69</v>
      </c>
      <c r="S31">
        <f t="shared" si="4"/>
        <v>-0.66</v>
      </c>
      <c r="T31" t="s">
        <v>68</v>
      </c>
      <c r="U31">
        <f t="shared" si="5"/>
        <v>-1</v>
      </c>
      <c r="V31" t="s">
        <v>66</v>
      </c>
      <c r="W31">
        <f t="shared" si="6"/>
        <v>-0.33</v>
      </c>
      <c r="X31" t="s">
        <v>69</v>
      </c>
      <c r="Y31">
        <f t="shared" si="7"/>
        <v>-0.66</v>
      </c>
      <c r="Z31" t="s">
        <v>70</v>
      </c>
      <c r="AA31">
        <f t="shared" si="8"/>
        <v>-1</v>
      </c>
      <c r="AB31" s="2">
        <f t="shared" si="9"/>
        <v>-6.65</v>
      </c>
      <c r="AC31" s="5">
        <f t="shared" si="0"/>
        <v>-7.4812500000000002</v>
      </c>
      <c r="AD31" t="s">
        <v>67</v>
      </c>
      <c r="AE31">
        <f t="shared" si="10"/>
        <v>0.66</v>
      </c>
      <c r="AF31" t="s">
        <v>66</v>
      </c>
      <c r="AG31">
        <f t="shared" si="11"/>
        <v>0.33</v>
      </c>
      <c r="AH31" t="s">
        <v>70</v>
      </c>
      <c r="AI31">
        <f t="shared" si="12"/>
        <v>-1</v>
      </c>
      <c r="AJ31" t="s">
        <v>70</v>
      </c>
      <c r="AK31">
        <f t="shared" si="13"/>
        <v>-1</v>
      </c>
      <c r="AL31" t="s">
        <v>68</v>
      </c>
      <c r="AM31">
        <f t="shared" si="14"/>
        <v>-1</v>
      </c>
      <c r="AN31" t="s">
        <v>65</v>
      </c>
      <c r="AO31">
        <f t="shared" si="15"/>
        <v>-0.33</v>
      </c>
      <c r="AP31" t="s">
        <v>67</v>
      </c>
      <c r="AQ31">
        <f t="shared" si="16"/>
        <v>-0.66</v>
      </c>
      <c r="AR31" t="s">
        <v>70</v>
      </c>
      <c r="AS31">
        <f t="shared" si="17"/>
        <v>-1</v>
      </c>
      <c r="AT31" t="s">
        <v>70</v>
      </c>
      <c r="AU31">
        <f t="shared" si="18"/>
        <v>1</v>
      </c>
      <c r="AV31" s="2">
        <f t="shared" si="19"/>
        <v>-3</v>
      </c>
      <c r="AW31" t="s">
        <v>70</v>
      </c>
      <c r="AX31" t="s">
        <v>66</v>
      </c>
      <c r="AY31" t="s">
        <v>68</v>
      </c>
      <c r="AZ31" t="s">
        <v>69</v>
      </c>
      <c r="BA31" t="s">
        <v>67</v>
      </c>
      <c r="BB31" t="s">
        <v>70</v>
      </c>
      <c r="BC31" t="s">
        <v>70</v>
      </c>
      <c r="BD31" t="s">
        <v>70</v>
      </c>
      <c r="BE31" t="s">
        <v>70</v>
      </c>
      <c r="BF31" t="s">
        <v>68</v>
      </c>
      <c r="BG31" t="s">
        <v>69</v>
      </c>
      <c r="BJ31" t="s">
        <v>71</v>
      </c>
      <c r="BK31" t="s">
        <v>71</v>
      </c>
      <c r="BP31" t="s">
        <v>71</v>
      </c>
      <c r="BQ31" t="s">
        <v>71</v>
      </c>
      <c r="BU31" t="s">
        <v>71</v>
      </c>
      <c r="BV31" t="s">
        <v>71</v>
      </c>
      <c r="BX31" t="s">
        <v>101</v>
      </c>
      <c r="BY31" t="s">
        <v>79</v>
      </c>
      <c r="BZ31" t="s">
        <v>79</v>
      </c>
    </row>
    <row r="32" spans="1:78" x14ac:dyDescent="0.25">
      <c r="A32">
        <v>45560.55297287037</v>
      </c>
      <c r="B32" t="s">
        <v>129</v>
      </c>
      <c r="C32">
        <v>1999</v>
      </c>
      <c r="D32" t="s">
        <v>59</v>
      </c>
      <c r="E32" t="s">
        <v>130</v>
      </c>
      <c r="F32" t="s">
        <v>76</v>
      </c>
      <c r="G32" t="s">
        <v>96</v>
      </c>
      <c r="H32" t="s">
        <v>83</v>
      </c>
      <c r="I32" t="s">
        <v>89</v>
      </c>
      <c r="J32" t="s">
        <v>77</v>
      </c>
      <c r="K32" s="1" t="s">
        <v>132</v>
      </c>
      <c r="L32" t="s">
        <v>67</v>
      </c>
      <c r="M32">
        <f t="shared" si="1"/>
        <v>-0.66</v>
      </c>
      <c r="N32" t="s">
        <v>69</v>
      </c>
      <c r="O32">
        <f t="shared" si="2"/>
        <v>-0.66</v>
      </c>
      <c r="P32" t="s">
        <v>68</v>
      </c>
      <c r="Q32">
        <f t="shared" si="3"/>
        <v>-1</v>
      </c>
      <c r="R32" t="s">
        <v>70</v>
      </c>
      <c r="S32">
        <f t="shared" si="4"/>
        <v>-1</v>
      </c>
      <c r="T32" t="s">
        <v>67</v>
      </c>
      <c r="U32">
        <f t="shared" si="5"/>
        <v>-0.66</v>
      </c>
      <c r="V32" t="s">
        <v>65</v>
      </c>
      <c r="W32">
        <f t="shared" si="6"/>
        <v>0.33</v>
      </c>
      <c r="X32" t="s">
        <v>66</v>
      </c>
      <c r="Y32">
        <f t="shared" si="7"/>
        <v>-0.33</v>
      </c>
      <c r="Z32" t="s">
        <v>70</v>
      </c>
      <c r="AA32">
        <f t="shared" si="8"/>
        <v>-1</v>
      </c>
      <c r="AB32" s="2">
        <f t="shared" si="9"/>
        <v>-4.9800000000000004</v>
      </c>
      <c r="AC32" s="5">
        <f>+AB32*AB$36</f>
        <v>-5.6025000000000009</v>
      </c>
      <c r="AD32" t="s">
        <v>69</v>
      </c>
      <c r="AE32">
        <f t="shared" si="10"/>
        <v>-0.66</v>
      </c>
      <c r="AF32" t="s">
        <v>69</v>
      </c>
      <c r="AG32">
        <f t="shared" si="11"/>
        <v>0.66</v>
      </c>
      <c r="AH32" t="s">
        <v>70</v>
      </c>
      <c r="AI32">
        <f t="shared" si="12"/>
        <v>-1</v>
      </c>
      <c r="AJ32" t="s">
        <v>70</v>
      </c>
      <c r="AK32">
        <f t="shared" si="13"/>
        <v>-1</v>
      </c>
      <c r="AL32" t="s">
        <v>68</v>
      </c>
      <c r="AM32">
        <f t="shared" si="14"/>
        <v>-1</v>
      </c>
      <c r="AN32" t="s">
        <v>65</v>
      </c>
      <c r="AO32">
        <f t="shared" si="15"/>
        <v>-0.33</v>
      </c>
      <c r="AP32" t="s">
        <v>67</v>
      </c>
      <c r="AQ32">
        <f t="shared" si="16"/>
        <v>-0.66</v>
      </c>
      <c r="AR32" t="s">
        <v>70</v>
      </c>
      <c r="AS32">
        <f t="shared" si="17"/>
        <v>-1</v>
      </c>
      <c r="AT32" t="s">
        <v>66</v>
      </c>
      <c r="AU32">
        <f t="shared" si="18"/>
        <v>0.33</v>
      </c>
      <c r="AV32" s="2">
        <f>AU32+AS32+AQ32+AO32+AM32+AK32+AI32+AG32+AE32</f>
        <v>-4.66</v>
      </c>
      <c r="AW32" t="s">
        <v>70</v>
      </c>
      <c r="AX32" t="s">
        <v>66</v>
      </c>
      <c r="AY32" t="s">
        <v>67</v>
      </c>
      <c r="AZ32" t="s">
        <v>65</v>
      </c>
      <c r="BA32" t="s">
        <v>69</v>
      </c>
      <c r="BB32" t="s">
        <v>70</v>
      </c>
      <c r="BC32" t="s">
        <v>70</v>
      </c>
      <c r="BD32" t="s">
        <v>70</v>
      </c>
      <c r="BE32" t="s">
        <v>70</v>
      </c>
      <c r="BF32" t="s">
        <v>67</v>
      </c>
      <c r="BG32" t="s">
        <v>70</v>
      </c>
      <c r="BP32" t="s">
        <v>71</v>
      </c>
      <c r="BQ32" t="s">
        <v>71</v>
      </c>
      <c r="BU32" t="s">
        <v>71</v>
      </c>
      <c r="BX32" t="s">
        <v>79</v>
      </c>
      <c r="BY32" t="s">
        <v>79</v>
      </c>
      <c r="BZ32" t="s">
        <v>79</v>
      </c>
    </row>
    <row r="33" spans="11:48" ht="15.75" thickBot="1" x14ac:dyDescent="0.3">
      <c r="K33" s="1"/>
      <c r="L33" s="2" t="s">
        <v>137</v>
      </c>
      <c r="M33">
        <f>+AVERAGE(M3:M32)</f>
        <v>7.8E-2</v>
      </c>
      <c r="O33">
        <f>+AVERAGE(O3:O32)</f>
        <v>-3.2999999999999988E-2</v>
      </c>
      <c r="Q33">
        <f>+AVERAGE(Q3:Q32)</f>
        <v>-0.58533333333333337</v>
      </c>
      <c r="S33">
        <f>+AVERAGE(S3:S32)</f>
        <v>0.46300000000000008</v>
      </c>
      <c r="U33">
        <f>+AVERAGE(U3:U32)</f>
        <v>-3.3333333333333333E-2</v>
      </c>
      <c r="W33">
        <f>+AVERAGE(W3:W32)</f>
        <v>0.32100000000000001</v>
      </c>
      <c r="Y33">
        <f>+AVERAGE(Y3:Y32)</f>
        <v>0.28800000000000003</v>
      </c>
      <c r="AA33">
        <f>+AVERAGE(AA3:AA32)</f>
        <v>-0.47466666666666668</v>
      </c>
      <c r="AB33" s="9">
        <f>+AVERAGE(M33:AA33)</f>
        <v>2.9583333333333475E-3</v>
      </c>
      <c r="AC33" s="6">
        <f t="shared" si="0"/>
        <v>3.328125000000016E-3</v>
      </c>
      <c r="AE33">
        <f t="shared" ref="AE33:AU33" si="20">+AVERAGE(AE3:AE32)</f>
        <v>-0.24333333333333332</v>
      </c>
      <c r="AG33">
        <f t="shared" si="20"/>
        <v>-0.44200000000000006</v>
      </c>
      <c r="AI33">
        <f t="shared" si="20"/>
        <v>-0.311</v>
      </c>
      <c r="AK33">
        <f t="shared" si="20"/>
        <v>-0.57766666666666666</v>
      </c>
      <c r="AM33">
        <f t="shared" si="20"/>
        <v>-0.443</v>
      </c>
      <c r="AO33">
        <f t="shared" si="20"/>
        <v>0.35466666666666669</v>
      </c>
      <c r="AQ33">
        <f>+AVERAGE(AQ3:AQ32)</f>
        <v>-0.19899999999999998</v>
      </c>
      <c r="AS33">
        <f t="shared" si="20"/>
        <v>0.32066666666666671</v>
      </c>
      <c r="AU33">
        <f t="shared" si="20"/>
        <v>0.68733333333333324</v>
      </c>
      <c r="AV33" s="2">
        <f t="shared" si="19"/>
        <v>-0.85333333333333317</v>
      </c>
    </row>
    <row r="34" spans="11:48" x14ac:dyDescent="0.25">
      <c r="L34" t="str">
        <f>IF(AS3="Totalmente de Acuerdo",1,IF(AS3="Muy de Acuerdo",0.66,IF(AS3="Levemente de Acuerdo",0.33,IF(AS3="Levemente en Desacuerdo",-0.33,IF(AS3="Muy en Desacuerdo",-0.66,IF(AS3="Totalmente en Desacuerdo",-1,"error"))))))</f>
        <v>error</v>
      </c>
      <c r="M34">
        <f>IF(L3="Totalmente de Acuerdo",1,IF(L3="Muy de Acuerdo",0.66,IF(L3="Levemente de Acuerdo",0.33,IF(L3="Levemente en Desacuerdo",-0.33,IF(L3="Muy en Desacuerdo",-0.66,IF(L3="Totalmente en Desacuerdo",-1,"error"))))))</f>
        <v>-1</v>
      </c>
      <c r="O34">
        <f>IF(N3="Totalmente de Acuerdo",1,IF(N3="Muy de Acuerdo",0.66,IF(N3="Levemente de Acuerdo",0.33,IF(N3="Levemente en Desacuerdo",-0.33,IF(N3="Muy en Desacuerdo",-0.66,IF(N3="Totalmente en Desacuerdo",-1,"error"))))))</f>
        <v>0.33</v>
      </c>
      <c r="Q34">
        <f t="shared" ref="Q34:U34" si="21">IF(P3="Totalmente de Acuerdo",1,IF(P3="Muy de Acuerdo",0.66,IF(P3="Levemente de Acuerdo",0.33,IF(P3="Levemente en Desacuerdo",-0.33,IF(P3="Muy en Desacuerdo",-0.66,IF(P3="Totalmente en Desacuerdo",-1,"error"))))))</f>
        <v>0.66</v>
      </c>
      <c r="S34" t="str">
        <f t="shared" si="4"/>
        <v>error</v>
      </c>
      <c r="U34">
        <f t="shared" si="21"/>
        <v>-0.66</v>
      </c>
      <c r="W34" t="str">
        <f t="shared" si="6"/>
        <v>error</v>
      </c>
      <c r="Y34" t="str">
        <f t="shared" si="7"/>
        <v>error</v>
      </c>
      <c r="AA34" t="str">
        <f t="shared" si="8"/>
        <v>error</v>
      </c>
      <c r="AB34" s="9">
        <f>+AVERAGE(AB3:AB32)</f>
        <v>2.3666666666666576E-2</v>
      </c>
      <c r="AC34" s="7">
        <f t="shared" si="0"/>
        <v>2.6624999999999899E-2</v>
      </c>
      <c r="AE34">
        <f>IF(AD3="Totalmente de Acuerdo",1,IF(AD3="Muy de Acuerdo",0.66,IF(AD3="Levemente de Acuerdo",0.33,IF(AD3="Levemente en Desacuerdo",-0.33,IF(AD3="Muy en Desacuerdo",-0.66,IF(AD3="Totalmente en Desacuerdo",-1,"error"))))))</f>
        <v>-0.33</v>
      </c>
      <c r="AF34" t="str">
        <f t="shared" ref="AF34:AU34" si="22">IF(AE3="Totalmente de Acuerdo",1,IF(AE3="Muy de Acuerdo",0.66,IF(AE3="Levemente de Acuerdo",0.33,IF(AE3="Levemente en Desacuerdo",-0.33,IF(AE3="Muy en Desacuerdo",-0.66,IF(AE3="Totalmente en Desacuerdo",-1,"error"))))))</f>
        <v>error</v>
      </c>
      <c r="AG34" t="str">
        <f t="shared" si="11"/>
        <v>error</v>
      </c>
      <c r="AH34" t="str">
        <f t="shared" si="22"/>
        <v>error</v>
      </c>
      <c r="AI34">
        <f t="shared" si="22"/>
        <v>-0.33</v>
      </c>
      <c r="AJ34" t="str">
        <f t="shared" si="22"/>
        <v>error</v>
      </c>
      <c r="AK34">
        <f t="shared" si="22"/>
        <v>-0.33</v>
      </c>
      <c r="AL34" t="str">
        <f t="shared" si="22"/>
        <v>error</v>
      </c>
      <c r="AM34">
        <f t="shared" si="22"/>
        <v>-0.66</v>
      </c>
      <c r="AN34" t="str">
        <f t="shared" si="22"/>
        <v>error</v>
      </c>
      <c r="AO34">
        <f t="shared" si="22"/>
        <v>-1</v>
      </c>
      <c r="AP34" t="str">
        <f t="shared" si="22"/>
        <v>error</v>
      </c>
      <c r="AQ34">
        <f t="shared" si="22"/>
        <v>-0.66</v>
      </c>
      <c r="AR34" t="str">
        <f t="shared" si="22"/>
        <v>error</v>
      </c>
      <c r="AS34">
        <f t="shared" si="22"/>
        <v>1</v>
      </c>
      <c r="AT34" t="str">
        <f>IF(M3="Totalmente de Acuerdo",1,IF(M3="Muy de Acuerdo",0.66,IF(M3="Levemente de Acuerdo",0.33,IF(M3="Levemente en Desacuerdo",-0.33,IF(M3="Muy en Desacuerdo",-0.66,IF(M3="Totalmente en Desacuerdo",-1,"error"))))))</f>
        <v>error</v>
      </c>
      <c r="AU34">
        <f t="shared" si="22"/>
        <v>-1</v>
      </c>
      <c r="AV34" s="2" t="e">
        <f t="shared" si="19"/>
        <v>#VALUE!</v>
      </c>
    </row>
    <row r="35" spans="11:48" x14ac:dyDescent="0.25">
      <c r="L35" t="str">
        <f>IF(AS3="Totalmente de Acuerdo",-1,IF(AS3="Muy de Acuerdo",-0.66,IF(AS3="Levemente de Acuerdo",-0.33,IF(AS3="Levemente en Desacuerdo",0.33,IF(AS3="Muy en Desacuerdo",0.66,IF(AS3="Totalmente en Desacuerdo",1,"error"))))))</f>
        <v>error</v>
      </c>
      <c r="M35">
        <f>IF(L3="Totalmente de Acuerdo",-1,IF(L3="Muy de Acuerdo",-0.66,IF(L3="Levemente de Acuerdo",-0.33,IF(L3="Levemente en Desacuerdo",0.33,IF(L3="Muy en Desacuerdo",0.66,IF(L3="Totalmente en Desacuerdo",1,"error"))))))</f>
        <v>1</v>
      </c>
      <c r="O35">
        <v>1</v>
      </c>
      <c r="Q35">
        <v>1</v>
      </c>
      <c r="S35">
        <v>1</v>
      </c>
      <c r="U35">
        <v>1</v>
      </c>
      <c r="W35">
        <v>1</v>
      </c>
      <c r="Y35">
        <v>1</v>
      </c>
      <c r="AA35">
        <v>1</v>
      </c>
      <c r="AB35" s="2"/>
      <c r="AC35" s="7"/>
      <c r="AE35">
        <f>IF(AD3="Totalmente de Acuerdo",-1,IF(AD3="Muy de Acuerdo",-0.66,IF(AD3="Levemente de Acuerdo",-0.33,IF(AD3="Levemente en Desacuerdo",0.33,IF(AD3="Muy en Desacuerdo",0.66,IF(AD3="Totalmente en Desacuerdo",1,"error"))))))</f>
        <v>0.33</v>
      </c>
      <c r="AF35" t="str">
        <f t="shared" ref="AF35:AU35" si="23">IF(AE3="Totalmente de Acuerdo",-1,IF(AE3="Muy de Acuerdo",-0.66,IF(AE3="Levemente de Acuerdo",-0.33,IF(AE3="Levemente en Desacuerdo",0.33,IF(AE3="Muy en Desacuerdo",0.66,IF(AE3="Totalmente en Desacuerdo",1,"error"))))))</f>
        <v>error</v>
      </c>
      <c r="AG35" t="str">
        <f t="shared" si="11"/>
        <v>error</v>
      </c>
      <c r="AH35" t="str">
        <f t="shared" si="23"/>
        <v>error</v>
      </c>
      <c r="AI35">
        <f t="shared" si="23"/>
        <v>0.33</v>
      </c>
      <c r="AJ35" t="str">
        <f t="shared" si="23"/>
        <v>error</v>
      </c>
      <c r="AK35">
        <f t="shared" si="23"/>
        <v>0.33</v>
      </c>
      <c r="AL35" t="str">
        <f t="shared" si="23"/>
        <v>error</v>
      </c>
      <c r="AM35">
        <f t="shared" si="23"/>
        <v>0.66</v>
      </c>
      <c r="AN35" t="str">
        <f t="shared" si="23"/>
        <v>error</v>
      </c>
      <c r="AO35">
        <f t="shared" si="23"/>
        <v>1</v>
      </c>
      <c r="AP35" t="str">
        <f t="shared" si="23"/>
        <v>error</v>
      </c>
      <c r="AQ35">
        <f t="shared" si="23"/>
        <v>0.66</v>
      </c>
      <c r="AR35" t="str">
        <f t="shared" si="23"/>
        <v>error</v>
      </c>
      <c r="AS35">
        <f t="shared" si="23"/>
        <v>-1</v>
      </c>
      <c r="AT35" t="str">
        <f>IF(M3="Totalmente de Acuerdo",-1,IF(M3="Muy de Acuerdo",-0.66,IF(M3="Levemente de Acuerdo",-0.33,IF(M3="Levemente en Desacuerdo",0.33,IF(M3="Muy en Desacuerdo",0.66,IF(M3="Totalmente en Desacuerdo",1,"error"))))))</f>
        <v>error</v>
      </c>
      <c r="AU35">
        <f t="shared" si="23"/>
        <v>1</v>
      </c>
      <c r="AV35" s="2" t="e">
        <f t="shared" si="19"/>
        <v>#VALUE!</v>
      </c>
    </row>
    <row r="36" spans="11:48" x14ac:dyDescent="0.25">
      <c r="M36">
        <v>1</v>
      </c>
      <c r="AB36" s="2">
        <f>9/8</f>
        <v>1.125</v>
      </c>
      <c r="AC36" s="7"/>
      <c r="AE36">
        <v>1</v>
      </c>
      <c r="AG36">
        <v>1</v>
      </c>
      <c r="AI36">
        <v>1</v>
      </c>
      <c r="AK36">
        <v>1</v>
      </c>
      <c r="AM36">
        <v>1</v>
      </c>
      <c r="AO36">
        <v>1</v>
      </c>
      <c r="AQ36">
        <v>1</v>
      </c>
      <c r="AS36">
        <v>1</v>
      </c>
      <c r="AU36">
        <v>1</v>
      </c>
      <c r="AV36" s="2">
        <f t="shared" si="19"/>
        <v>9</v>
      </c>
    </row>
    <row r="37" spans="11:48" x14ac:dyDescent="0.25">
      <c r="AB37" s="2"/>
      <c r="AC37" s="3">
        <f>+MEDIAN(AC3:AC32)</f>
        <v>0.37125000000000002</v>
      </c>
      <c r="AU37" t="s">
        <v>140</v>
      </c>
      <c r="AV37" s="2" t="e">
        <f t="shared" si="19"/>
        <v>#VALUE!</v>
      </c>
    </row>
  </sheetData>
  <mergeCells count="2">
    <mergeCell ref="L1:AC1"/>
    <mergeCell ref="AD1:AV1"/>
  </mergeCells>
  <conditionalFormatting sqref="L33:AA33 AC33:AU3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40B0-19EF-48C1-89F1-D41F1821184A}">
  <dimension ref="A1:CB35"/>
  <sheetViews>
    <sheetView topLeftCell="AQ1" workbookViewId="0">
      <selection activeCell="AV3" sqref="AV3"/>
    </sheetView>
  </sheetViews>
  <sheetFormatPr baseColWidth="10" defaultColWidth="18.85546875" defaultRowHeight="15" x14ac:dyDescent="0.25"/>
  <cols>
    <col min="24" max="25" width="29.5703125" customWidth="1"/>
    <col min="27" max="27" width="17.140625" customWidth="1"/>
    <col min="77" max="77" width="65.28515625" bestFit="1" customWidth="1"/>
    <col min="78" max="78" width="70.28515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132</v>
      </c>
      <c r="L1" t="s">
        <v>25</v>
      </c>
      <c r="M1" s="1" t="s">
        <v>133</v>
      </c>
      <c r="N1" t="s">
        <v>10</v>
      </c>
      <c r="O1" s="1" t="s">
        <v>133</v>
      </c>
      <c r="P1" t="s">
        <v>12</v>
      </c>
      <c r="Q1" s="1" t="s">
        <v>133</v>
      </c>
      <c r="R1" t="s">
        <v>13</v>
      </c>
      <c r="S1" s="1" t="s">
        <v>133</v>
      </c>
      <c r="T1" t="s">
        <v>14</v>
      </c>
      <c r="U1" s="1" t="s">
        <v>133</v>
      </c>
      <c r="V1" t="s">
        <v>15</v>
      </c>
      <c r="W1" s="1" t="s">
        <v>133</v>
      </c>
      <c r="X1" t="s">
        <v>16</v>
      </c>
      <c r="Y1" s="1" t="s">
        <v>133</v>
      </c>
      <c r="Z1" t="s">
        <v>17</v>
      </c>
      <c r="AA1" s="1" t="s">
        <v>133</v>
      </c>
      <c r="AB1" s="2" t="s">
        <v>131</v>
      </c>
      <c r="AC1" s="2" t="s">
        <v>134</v>
      </c>
      <c r="AD1" t="s">
        <v>11</v>
      </c>
      <c r="AE1" s="1" t="s">
        <v>133</v>
      </c>
      <c r="AF1" t="s">
        <v>18</v>
      </c>
      <c r="AG1" s="1" t="s">
        <v>133</v>
      </c>
      <c r="AH1" t="s">
        <v>19</v>
      </c>
      <c r="AI1" s="1" t="s">
        <v>133</v>
      </c>
      <c r="AJ1" t="s">
        <v>20</v>
      </c>
      <c r="AK1" s="1" t="s">
        <v>133</v>
      </c>
      <c r="AL1" t="s">
        <v>21</v>
      </c>
      <c r="AM1" s="1" t="s">
        <v>133</v>
      </c>
      <c r="AN1" t="s">
        <v>22</v>
      </c>
      <c r="AO1" s="1" t="s">
        <v>133</v>
      </c>
      <c r="AP1" t="s">
        <v>23</v>
      </c>
      <c r="AQ1" s="1" t="s">
        <v>133</v>
      </c>
      <c r="AR1" t="s">
        <v>24</v>
      </c>
      <c r="AS1" s="1" t="s">
        <v>133</v>
      </c>
      <c r="AT1" t="s">
        <v>26</v>
      </c>
      <c r="AU1" s="1" t="s">
        <v>133</v>
      </c>
      <c r="AV1" s="2" t="s">
        <v>135</v>
      </c>
      <c r="AW1" s="1" t="s">
        <v>132</v>
      </c>
      <c r="AX1" t="s">
        <v>27</v>
      </c>
      <c r="AY1" t="s">
        <v>28</v>
      </c>
      <c r="AZ1" t="s">
        <v>29</v>
      </c>
      <c r="BA1" t="s">
        <v>30</v>
      </c>
      <c r="BB1" t="s">
        <v>31</v>
      </c>
      <c r="BC1" t="s">
        <v>32</v>
      </c>
      <c r="BD1" t="s">
        <v>33</v>
      </c>
      <c r="BE1" t="s">
        <v>34</v>
      </c>
      <c r="BF1" t="s">
        <v>35</v>
      </c>
      <c r="BG1" t="s">
        <v>36</v>
      </c>
      <c r="BH1" t="s">
        <v>37</v>
      </c>
      <c r="BI1" t="s">
        <v>38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  <c r="BO1" t="s">
        <v>44</v>
      </c>
      <c r="BP1" t="s">
        <v>45</v>
      </c>
      <c r="BQ1" t="s">
        <v>46</v>
      </c>
      <c r="BR1" t="s">
        <v>47</v>
      </c>
      <c r="BS1" t="s">
        <v>48</v>
      </c>
      <c r="BT1" t="s">
        <v>49</v>
      </c>
      <c r="BU1" t="s">
        <v>50</v>
      </c>
      <c r="BV1" t="s">
        <v>51</v>
      </c>
      <c r="BW1" t="s">
        <v>52</v>
      </c>
      <c r="BX1" t="s">
        <v>53</v>
      </c>
      <c r="BY1" t="s">
        <v>54</v>
      </c>
      <c r="BZ1" t="s">
        <v>55</v>
      </c>
      <c r="CA1" t="s">
        <v>56</v>
      </c>
      <c r="CB1" t="s">
        <v>57</v>
      </c>
    </row>
    <row r="2" spans="1:80" x14ac:dyDescent="0.25">
      <c r="A2">
        <v>45547.897125914351</v>
      </c>
      <c r="B2" t="s">
        <v>58</v>
      </c>
      <c r="C2">
        <v>2002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63</v>
      </c>
      <c r="J2" t="s">
        <v>64</v>
      </c>
      <c r="K2" s="1" t="s">
        <v>132</v>
      </c>
      <c r="L2" t="s">
        <v>70</v>
      </c>
      <c r="M2">
        <f>IF(L2="Totalmente de Acuerdo",-1,IF(L2="Muy de Acuerdo",-1,IF(L2="Levemente de Acuerdo",-0.5,IF(L2="Levemente en Desacuerdo",0.5,IF(L2="Muy en Desacuerdo",1,IF(L2="Totalmente en Desacuerdo",1,"error"))))))</f>
        <v>1</v>
      </c>
      <c r="N2" t="s">
        <v>65</v>
      </c>
      <c r="O2">
        <f>IF(N2="Totalmente de Acuerdo",1,IF(N2="Muy de Acuerdo",1,IF(N2="Levemente de Acuerdo",0.5,IF(N2="Levemente en Desacuerdo",-0.5,IF(N2="Muy en Desacuerdo",-1,IF(N2="Totalmente en Desacuerdo",-1,"error"))))))</f>
        <v>0.5</v>
      </c>
      <c r="P2" t="s">
        <v>67</v>
      </c>
      <c r="Q2">
        <f>IF(P2="Totalmente de Acuerdo",-1,IF(P2="Muy de Acuerdo",-1,IF(P2="Levemente de Acuerdo",-0.5,IF(P2="Levemente en Desacuerdo",0.5,IF(P2="Muy en Desacuerdo",1,IF(P2="Totalmente en Desacuerdo",1,"error"))))))</f>
        <v>-1</v>
      </c>
      <c r="R2" t="s">
        <v>68</v>
      </c>
      <c r="S2">
        <f>IF(R2="Totalmente de Acuerdo",1,IF(R2="Muy de Acuerdo",1,IF(R2="Levemente de Acuerdo",0.5,IF(R2="Levemente en Desacuerdo",-0.5,IF(R2="Muy en Desacuerdo",-1,IF(R2="Totalmente en Desacuerdo",-1,"error"))))))</f>
        <v>1</v>
      </c>
      <c r="T2" t="s">
        <v>69</v>
      </c>
      <c r="U2">
        <f>IF(T2="Totalmente de Acuerdo",-1,IF(T2="Muy de Acuerdo",-1,IF(T2="Levemente de Acuerdo",-0.5,IF(T2="Levemente en Desacuerdo",0.5,IF(T2="Muy en Desacuerdo",1,IF(T2="Totalmente en Desacuerdo",1,"error"))))))</f>
        <v>1</v>
      </c>
      <c r="V2" t="s">
        <v>68</v>
      </c>
      <c r="W2">
        <f>IF(V2="Totalmente de Acuerdo",1,IF(V2="Muy de Acuerdo",1,IF(V2="Levemente de Acuerdo",0.5,IF(V2="Levemente en Desacuerdo",-0.5,IF(V2="Muy en Desacuerdo",-1,IF(V2="Totalmente en Desacuerdo",-1,"error"))))))</f>
        <v>1</v>
      </c>
      <c r="X2" t="s">
        <v>68</v>
      </c>
      <c r="Y2">
        <f>IF(X2="Totalmente de Acuerdo",1,IF(X2="Muy de Acuerdo",1,IF(X2="Levemente de Acuerdo",0.5,IF(X2="Levemente en Desacuerdo",-0.5,IF(X2="Muy en Desacuerdo",-1,IF(X2="Totalmente en Desacuerdo",-1,"error"))))))</f>
        <v>1</v>
      </c>
      <c r="Z2" t="s">
        <v>69</v>
      </c>
      <c r="AA2">
        <f>IF(Z2="Totalmente de Acuerdo",1,IF(Z2="Muy de Acuerdo",1,IF(Z2="Levemente en Acuerdo",0.5,IF(Z2="Levemente en Desacuerdo",-0.5,IF(Z2="Muy en Desacuerdo",-1,IF(Z2="Totalmente en Desacuerdo",-1,"error"))))))</f>
        <v>-1</v>
      </c>
      <c r="AB2" s="2">
        <f>AA2+Y2+W2+U2+S2+Q2+O2+M2</f>
        <v>3.5</v>
      </c>
      <c r="AC2" s="2">
        <f>+AB2*AB$35</f>
        <v>3.9375</v>
      </c>
      <c r="AD2" t="s">
        <v>66</v>
      </c>
      <c r="AE2">
        <f>IF(AD2="Totalmente de Acuerdo",1,IF(AD2="Muy de Acuerdo",1,IF(AD2="Levemente de Acuerdo",0.5,IF(AD2="Levemente en Desacuerdo",-0.5,IF(AD2="Muy en Desacuerdo",-1,IF(AD2="Totalmente en Desacuerdo",-1,"error"))))))</f>
        <v>-0.5</v>
      </c>
      <c r="AF2" t="s">
        <v>68</v>
      </c>
      <c r="AG2">
        <f>IF(AF2="Totalmente de Acuerdo",-1,IF(AF2="Muy de Acuerdo",-1,IF(AF2="Levemente de Acuerdo",-0.5,IF(AF2="Levemente en Desacuerdo",0.5,IF(AF2="Muy en Desacuerdo",1,IF(AF2="Totalmente en Desacuerdo",1,"error"))))))</f>
        <v>-1</v>
      </c>
      <c r="AH2" t="s">
        <v>66</v>
      </c>
      <c r="AI2">
        <f>IF(AH2="Totalmente de Acuerdo",1,IF(AH2="Muy de Acuerdo",1,IF(AH2="Levemente de Acuerdo",0.5,IF(AH2="Levemente en Desacuerdo",-0.5,IF(AH2="Muy en Desacuerdo",-1,IF(AH2="Totalmente en Desacuerdo",-1,"error"))))))</f>
        <v>-0.5</v>
      </c>
      <c r="AJ2" t="s">
        <v>66</v>
      </c>
      <c r="AK2">
        <f>IF(AJ2="Totalmente de Acuerdo",1,IF(AJ2="Muy de Acuerdo",1,IF(AJ2="Levemente de Acuerdo",0.5,IF(AJ2="Levemente en Desacuerdo",-0.5,IF(AJ2="Muy en Desacuerdo",-1,IF(AJ2="Totalmente en Desacuerdo",-1,"error"))))))</f>
        <v>-0.5</v>
      </c>
      <c r="AL2" t="s">
        <v>69</v>
      </c>
      <c r="AM2">
        <f>IF(AL2="Totalmente de Acuerdo",-1,IF(AL2="Muy de Acuerdo",-1,IF(AL2="Levemente de Acuerdo",-0.5,IF(AL2="Levemente en Desacuerdo",0.5,IF(AL2="Muy en Desacuerdo",1,IF(AL2="Totalmente en Desacuerdo",1,"error"))))))</f>
        <v>1</v>
      </c>
      <c r="AN2" t="s">
        <v>70</v>
      </c>
      <c r="AO2">
        <f>IF(AN2="Totalmente de Acuerdo",-1,IF(AN2="Muy de Acuerdo",-1,IF(AN2="Levemente de Acuerdo",-0.5,IF(AN2="Levemente en Desacuerdo",0.5,IF(AN2="Muy en Desacuerdo",1,IF(AN2="Totalmente en Desacuerdo",1,"error"))))))</f>
        <v>1</v>
      </c>
      <c r="AP2" t="s">
        <v>69</v>
      </c>
      <c r="AQ2">
        <f>IF(AP2="Totalmente de Acuerdo",-1,IF(AP2="Muy de Acuerdo",-1,IF(AP2="Levemente de Acuerdo",-0.5,IF(AP2="Levemente en Desacuerdo",0.5,IF(AP2="Muy en Desacuerdo",1,IF(AP2="Totalmente en Desacuerdo",1,"error"))))))</f>
        <v>1</v>
      </c>
      <c r="AR2" t="s">
        <v>68</v>
      </c>
      <c r="AS2">
        <f>IF(AR2="Totalmente de Acuerdo",1,IF(AR2="Muy de Acuerdo",1,IF(AR2="Levemente de Acuerdo",0.5,IF(AR2="Levemente en Desacuerdo",-0.5,IF(AR2="Muy en Desacuerdo",-1,IF(AR2="Totalmente en Desacuerdo",-1,"error"))))))</f>
        <v>1</v>
      </c>
      <c r="AT2" t="s">
        <v>70</v>
      </c>
      <c r="AU2">
        <f>IF(AT2="Totalmente de Acuerdo",-1,IF(AT2="Muy de Acuerdo",-1,IF(AT2="Levemente de Acuerdo",-0.5,IF(AT2="Levemente en Desacuerdo",0.5,IF(AT2="Muy en Desacuerdo",1,IF(AT2="Totalmente en Desacuerdo",1,"error"))))))</f>
        <v>1</v>
      </c>
      <c r="AV2" s="2">
        <f>+SUM(AU2+AS2+AQ2+AO2+AM2+AK2+AI2+AG2+AE2)</f>
        <v>2.5</v>
      </c>
      <c r="AW2" s="1" t="s">
        <v>132</v>
      </c>
      <c r="AX2" t="s">
        <v>68</v>
      </c>
      <c r="AY2" t="s">
        <v>69</v>
      </c>
      <c r="AZ2" t="s">
        <v>70</v>
      </c>
      <c r="BA2" t="s">
        <v>67</v>
      </c>
      <c r="BB2" t="s">
        <v>70</v>
      </c>
      <c r="BC2" t="s">
        <v>68</v>
      </c>
      <c r="BD2" t="s">
        <v>65</v>
      </c>
      <c r="BE2" t="s">
        <v>65</v>
      </c>
      <c r="BF2" t="s">
        <v>66</v>
      </c>
      <c r="BG2" t="s">
        <v>69</v>
      </c>
      <c r="BH2" t="s">
        <v>67</v>
      </c>
      <c r="BI2" t="s">
        <v>71</v>
      </c>
      <c r="BM2" t="s">
        <v>71</v>
      </c>
      <c r="BY2" t="s">
        <v>72</v>
      </c>
      <c r="BZ2" t="s">
        <v>73</v>
      </c>
      <c r="CA2" t="s">
        <v>73</v>
      </c>
    </row>
    <row r="3" spans="1:80" x14ac:dyDescent="0.25">
      <c r="A3">
        <v>45547.897613912035</v>
      </c>
      <c r="B3" t="s">
        <v>74</v>
      </c>
      <c r="C3">
        <v>1998</v>
      </c>
      <c r="D3" t="s">
        <v>75</v>
      </c>
      <c r="E3" t="s">
        <v>60</v>
      </c>
      <c r="F3" t="s">
        <v>76</v>
      </c>
      <c r="G3" t="s">
        <v>61</v>
      </c>
      <c r="H3" t="s">
        <v>62</v>
      </c>
      <c r="I3" t="s">
        <v>63</v>
      </c>
      <c r="J3" t="s">
        <v>77</v>
      </c>
      <c r="K3" s="1" t="s">
        <v>132</v>
      </c>
      <c r="L3" t="s">
        <v>65</v>
      </c>
      <c r="M3">
        <f t="shared" ref="M3:M35" si="0">IF(L3="Totalmente de Acuerdo",-1,IF(L3="Muy de Acuerdo",-1,IF(L3="Levemente de Acuerdo",-0.5,IF(L3="Levemente en Desacuerdo",0.5,IF(L3="Muy en Desacuerdo",1,IF(L3="Totalmente en Desacuerdo",1,"error"))))))</f>
        <v>-0.5</v>
      </c>
      <c r="N3" t="s">
        <v>69</v>
      </c>
      <c r="O3">
        <f t="shared" ref="O3:O34" si="1">IF(N3="Totalmente de Acuerdo",1,IF(N3="Muy de Acuerdo",1,IF(N3="Levemente de Acuerdo",0.5,IF(N3="Levemente en Desacuerdo",-0.5,IF(N3="Muy en Desacuerdo",-1,IF(N3="Totalmente en Desacuerdo",-1,"error"))))))</f>
        <v>-1</v>
      </c>
      <c r="P3" t="s">
        <v>68</v>
      </c>
      <c r="Q3">
        <f t="shared" ref="Q3:Q34" si="2">IF(P3="Totalmente de Acuerdo",-1,IF(P3="Muy de Acuerdo",-1,IF(P3="Levemente de Acuerdo",-0.5,IF(P3="Levemente en Desacuerdo",0.5,IF(P3="Muy en Desacuerdo",1,IF(P3="Totalmente en Desacuerdo",1,"error"))))))</f>
        <v>-1</v>
      </c>
      <c r="R3" t="s">
        <v>65</v>
      </c>
      <c r="S3">
        <f t="shared" ref="S3:S34" si="3">IF(R3="Totalmente de Acuerdo",1,IF(R3="Muy de Acuerdo",1,IF(R3="Levemente de Acuerdo",0.5,IF(R3="Levemente en Desacuerdo",-0.5,IF(R3="Muy en Desacuerdo",-1,IF(R3="Totalmente en Desacuerdo",-1,"error"))))))</f>
        <v>0.5</v>
      </c>
      <c r="T3" t="s">
        <v>66</v>
      </c>
      <c r="U3">
        <f t="shared" ref="U3:U34" si="4">IF(T3="Totalmente de Acuerdo",-1,IF(T3="Muy de Acuerdo",-1,IF(T3="Levemente de Acuerdo",-0.5,IF(T3="Levemente en Desacuerdo",0.5,IF(T3="Muy en Desacuerdo",1,IF(T3="Totalmente en Desacuerdo",1,"error"))))))</f>
        <v>0.5</v>
      </c>
      <c r="V3" t="s">
        <v>66</v>
      </c>
      <c r="W3">
        <f t="shared" ref="W3:W34" si="5">IF(V3="Totalmente de Acuerdo",1,IF(V3="Muy de Acuerdo",1,IF(V3="Levemente de Acuerdo",0.5,IF(V3="Levemente en Desacuerdo",-0.5,IF(V3="Muy en Desacuerdo",-1,IF(V3="Totalmente en Desacuerdo",-1,"error"))))))</f>
        <v>-0.5</v>
      </c>
      <c r="X3" t="s">
        <v>66</v>
      </c>
      <c r="Y3">
        <f t="shared" ref="Y3:Y34" si="6">IF(X3="Totalmente de Acuerdo",1,IF(X3="Muy de Acuerdo",1,IF(X3="Levemente de Acuerdo",0.5,IF(X3="Levemente en Desacuerdo",-0.5,IF(X3="Muy en Desacuerdo",-1,IF(X3="Totalmente en Desacuerdo",-1,"error"))))))</f>
        <v>-0.5</v>
      </c>
      <c r="Z3" t="s">
        <v>69</v>
      </c>
      <c r="AA3">
        <f t="shared" ref="AA3:AA34" si="7">IF(Z3="Totalmente de Acuerdo",1,IF(Z3="Muy de Acuerdo",1,IF(Z3="Levemente en Acuerdo",0.5,IF(Z3="Levemente en Desacuerdo",-0.5,IF(Z3="Muy en Desacuerdo",-1,IF(Z3="Totalmente en Desacuerdo",-1,"error"))))))</f>
        <v>-1</v>
      </c>
      <c r="AB3" s="2">
        <f t="shared" ref="AB3:AB31" si="8">AA3+Y3+W3+U3+S3+Q3+O3+M3</f>
        <v>-3.5</v>
      </c>
      <c r="AC3" s="2">
        <f t="shared" ref="AC3:AC31" si="9">+AB3*AB$35</f>
        <v>-3.9375</v>
      </c>
      <c r="AD3" t="s">
        <v>65</v>
      </c>
      <c r="AE3">
        <f t="shared" ref="AE3:AE35" si="10">IF(AD3="Totalmente de Acuerdo",1,IF(AD3="Muy de Acuerdo",1,IF(AD3="Levemente de Acuerdo",0.5,IF(AD3="Levemente en Desacuerdo",-0.5,IF(AD3="Muy en Desacuerdo",-1,IF(AD3="Totalmente en Desacuerdo",-1,"error"))))))</f>
        <v>0.5</v>
      </c>
      <c r="AF3" t="s">
        <v>65</v>
      </c>
      <c r="AG3">
        <f t="shared" ref="AG3:AG35" si="11">IF(AF3="Totalmente de Acuerdo",-1,IF(AF3="Muy de Acuerdo",-1,IF(AF3="Levemente de Acuerdo",-0.5,IF(AF3="Levemente en Desacuerdo",0.5,IF(AF3="Muy en Desacuerdo",1,IF(AF3="Totalmente en Desacuerdo",1,"error"))))))</f>
        <v>-0.5</v>
      </c>
      <c r="AH3" t="s">
        <v>70</v>
      </c>
      <c r="AI3">
        <f t="shared" ref="AI3:AI35" si="12">IF(AH3="Totalmente de Acuerdo",1,IF(AH3="Muy de Acuerdo",1,IF(AH3="Levemente de Acuerdo",0.5,IF(AH3="Levemente en Desacuerdo",-0.5,IF(AH3="Muy en Desacuerdo",-1,IF(AH3="Totalmente en Desacuerdo",-1,"error"))))))</f>
        <v>-1</v>
      </c>
      <c r="AJ3" t="s">
        <v>70</v>
      </c>
      <c r="AK3">
        <f t="shared" ref="AK3:AK35" si="13">IF(AJ3="Totalmente de Acuerdo",1,IF(AJ3="Muy de Acuerdo",1,IF(AJ3="Levemente de Acuerdo",0.5,IF(AJ3="Levemente en Desacuerdo",-0.5,IF(AJ3="Muy en Desacuerdo",-1,IF(AJ3="Totalmente en Desacuerdo",-1,"error"))))))</f>
        <v>-1</v>
      </c>
      <c r="AL3" t="s">
        <v>67</v>
      </c>
      <c r="AM3">
        <f t="shared" ref="AM3:AM35" si="14">IF(AL3="Totalmente de Acuerdo",-1,IF(AL3="Muy de Acuerdo",-1,IF(AL3="Levemente de Acuerdo",-0.5,IF(AL3="Levemente en Desacuerdo",0.5,IF(AL3="Muy en Desacuerdo",1,IF(AL3="Totalmente en Desacuerdo",1,"error"))))))</f>
        <v>-1</v>
      </c>
      <c r="AN3" t="s">
        <v>67</v>
      </c>
      <c r="AO3">
        <f t="shared" ref="AO3:AO35" si="15">IF(AN3="Totalmente de Acuerdo",-1,IF(AN3="Muy de Acuerdo",-1,IF(AN3="Levemente de Acuerdo",-0.5,IF(AN3="Levemente en Desacuerdo",0.5,IF(AN3="Muy en Desacuerdo",1,IF(AN3="Totalmente en Desacuerdo",1,"error"))))))</f>
        <v>-1</v>
      </c>
      <c r="AP3" t="s">
        <v>67</v>
      </c>
      <c r="AQ3">
        <f t="shared" ref="AQ3:AQ35" si="16">IF(AP3="Totalmente de Acuerdo",-1,IF(AP3="Muy de Acuerdo",-1,IF(AP3="Levemente de Acuerdo",-0.5,IF(AP3="Levemente en Desacuerdo",0.5,IF(AP3="Muy en Desacuerdo",1,IF(AP3="Totalmente en Desacuerdo",1,"error"))))))</f>
        <v>-1</v>
      </c>
      <c r="AR3" t="s">
        <v>70</v>
      </c>
      <c r="AS3">
        <f t="shared" ref="AS3:AS35" si="17">IF(AR3="Totalmente de Acuerdo",1,IF(AR3="Muy de Acuerdo",1,IF(AR3="Levemente de Acuerdo",0.5,IF(AR3="Levemente en Desacuerdo",-0.5,IF(AR3="Muy en Desacuerdo",-1,IF(AR3="Totalmente en Desacuerdo",-1,"error"))))))</f>
        <v>-1</v>
      </c>
      <c r="AT3" t="s">
        <v>70</v>
      </c>
      <c r="AU3">
        <f t="shared" ref="AU3:AU35" si="18">IF(AT3="Totalmente de Acuerdo",-1,IF(AT3="Muy de Acuerdo",-1,IF(AT3="Levemente de Acuerdo",-0.5,IF(AT3="Levemente en Desacuerdo",0.5,IF(AT3="Muy en Desacuerdo",1,IF(AT3="Totalmente en Desacuerdo",1,"error"))))))</f>
        <v>1</v>
      </c>
      <c r="AV3" s="2">
        <f t="shared" ref="AV3:AV35" si="19">+SUM(AU3+AS3+AQ3+AO3+AM3+AK3+AI3+AG3+AE3)</f>
        <v>-5</v>
      </c>
      <c r="AW3" s="1" t="s">
        <v>132</v>
      </c>
      <c r="AX3" t="s">
        <v>70</v>
      </c>
      <c r="AY3" t="s">
        <v>65</v>
      </c>
      <c r="AZ3" t="s">
        <v>65</v>
      </c>
      <c r="BA3" t="s">
        <v>65</v>
      </c>
      <c r="BB3" t="s">
        <v>66</v>
      </c>
      <c r="BC3" t="s">
        <v>69</v>
      </c>
      <c r="BD3" t="s">
        <v>69</v>
      </c>
      <c r="BE3" t="s">
        <v>66</v>
      </c>
      <c r="BF3" t="s">
        <v>66</v>
      </c>
      <c r="BG3" t="s">
        <v>67</v>
      </c>
      <c r="BH3" t="s">
        <v>65</v>
      </c>
      <c r="BK3" t="s">
        <v>71</v>
      </c>
      <c r="BL3" t="s">
        <v>71</v>
      </c>
      <c r="BY3" t="s">
        <v>78</v>
      </c>
      <c r="BZ3" t="s">
        <v>79</v>
      </c>
      <c r="CA3" t="s">
        <v>79</v>
      </c>
    </row>
    <row r="4" spans="1:80" x14ac:dyDescent="0.25">
      <c r="A4">
        <v>45547.897886388891</v>
      </c>
      <c r="B4" t="s">
        <v>80</v>
      </c>
      <c r="C4">
        <v>2003</v>
      </c>
      <c r="D4" t="s">
        <v>81</v>
      </c>
      <c r="E4" t="s">
        <v>60</v>
      </c>
      <c r="F4" t="s">
        <v>61</v>
      </c>
      <c r="G4" t="s">
        <v>82</v>
      </c>
      <c r="H4" t="s">
        <v>83</v>
      </c>
      <c r="I4" t="s">
        <v>63</v>
      </c>
      <c r="J4" t="s">
        <v>64</v>
      </c>
      <c r="K4" s="1" t="s">
        <v>132</v>
      </c>
      <c r="L4" t="s">
        <v>66</v>
      </c>
      <c r="M4">
        <f t="shared" si="0"/>
        <v>0.5</v>
      </c>
      <c r="N4" t="s">
        <v>69</v>
      </c>
      <c r="O4">
        <f t="shared" si="1"/>
        <v>-1</v>
      </c>
      <c r="P4" t="s">
        <v>67</v>
      </c>
      <c r="Q4">
        <f t="shared" si="2"/>
        <v>-1</v>
      </c>
      <c r="R4" t="s">
        <v>68</v>
      </c>
      <c r="S4">
        <f t="shared" si="3"/>
        <v>1</v>
      </c>
      <c r="T4" t="s">
        <v>65</v>
      </c>
      <c r="U4">
        <f t="shared" si="4"/>
        <v>-0.5</v>
      </c>
      <c r="V4" t="s">
        <v>68</v>
      </c>
      <c r="W4">
        <f t="shared" si="5"/>
        <v>1</v>
      </c>
      <c r="X4" t="s">
        <v>67</v>
      </c>
      <c r="Y4">
        <f t="shared" si="6"/>
        <v>1</v>
      </c>
      <c r="Z4" t="s">
        <v>69</v>
      </c>
      <c r="AA4">
        <f t="shared" si="7"/>
        <v>-1</v>
      </c>
      <c r="AB4" s="2">
        <f t="shared" si="8"/>
        <v>0</v>
      </c>
      <c r="AC4" s="2">
        <f t="shared" si="9"/>
        <v>0</v>
      </c>
      <c r="AD4" t="s">
        <v>68</v>
      </c>
      <c r="AE4">
        <f t="shared" si="10"/>
        <v>1</v>
      </c>
      <c r="AF4" t="s">
        <v>68</v>
      </c>
      <c r="AG4">
        <f t="shared" si="11"/>
        <v>-1</v>
      </c>
      <c r="AH4" t="s">
        <v>65</v>
      </c>
      <c r="AI4">
        <f t="shared" si="12"/>
        <v>0.5</v>
      </c>
      <c r="AJ4" t="s">
        <v>70</v>
      </c>
      <c r="AK4">
        <f t="shared" si="13"/>
        <v>-1</v>
      </c>
      <c r="AL4" t="s">
        <v>66</v>
      </c>
      <c r="AM4">
        <f t="shared" si="14"/>
        <v>0.5</v>
      </c>
      <c r="AN4" t="s">
        <v>70</v>
      </c>
      <c r="AO4">
        <f t="shared" si="15"/>
        <v>1</v>
      </c>
      <c r="AP4" t="s">
        <v>70</v>
      </c>
      <c r="AQ4">
        <f t="shared" si="16"/>
        <v>1</v>
      </c>
      <c r="AR4" t="s">
        <v>66</v>
      </c>
      <c r="AS4">
        <f t="shared" si="17"/>
        <v>-0.5</v>
      </c>
      <c r="AT4" t="s">
        <v>69</v>
      </c>
      <c r="AU4">
        <f t="shared" si="18"/>
        <v>1</v>
      </c>
      <c r="AV4" s="2">
        <f t="shared" si="19"/>
        <v>2.5</v>
      </c>
      <c r="AW4" s="1" t="s">
        <v>132</v>
      </c>
      <c r="AX4" t="s">
        <v>66</v>
      </c>
      <c r="AY4" t="s">
        <v>67</v>
      </c>
      <c r="AZ4" t="s">
        <v>70</v>
      </c>
      <c r="BA4" t="s">
        <v>67</v>
      </c>
      <c r="BB4" t="s">
        <v>65</v>
      </c>
      <c r="BC4" t="s">
        <v>65</v>
      </c>
      <c r="BD4" t="s">
        <v>65</v>
      </c>
      <c r="BE4" t="s">
        <v>68</v>
      </c>
      <c r="BF4" t="s">
        <v>67</v>
      </c>
      <c r="BG4" t="s">
        <v>66</v>
      </c>
      <c r="BH4" t="s">
        <v>67</v>
      </c>
      <c r="BI4" t="s">
        <v>71</v>
      </c>
      <c r="BM4" t="s">
        <v>71</v>
      </c>
      <c r="BN4" t="s">
        <v>71</v>
      </c>
      <c r="BY4" t="s">
        <v>73</v>
      </c>
      <c r="BZ4" t="s">
        <v>73</v>
      </c>
      <c r="CA4" t="s">
        <v>73</v>
      </c>
    </row>
    <row r="5" spans="1:80" x14ac:dyDescent="0.25">
      <c r="A5">
        <v>45547.899384074073</v>
      </c>
      <c r="B5" t="s">
        <v>84</v>
      </c>
      <c r="C5">
        <v>2001</v>
      </c>
      <c r="D5" t="s">
        <v>59</v>
      </c>
      <c r="E5" t="s">
        <v>60</v>
      </c>
      <c r="F5" t="s">
        <v>76</v>
      </c>
      <c r="G5" t="s">
        <v>76</v>
      </c>
      <c r="H5" t="s">
        <v>83</v>
      </c>
      <c r="I5" t="s">
        <v>63</v>
      </c>
      <c r="J5" t="s">
        <v>64</v>
      </c>
      <c r="K5" s="1" t="s">
        <v>132</v>
      </c>
      <c r="L5" t="s">
        <v>67</v>
      </c>
      <c r="M5">
        <f t="shared" si="0"/>
        <v>-1</v>
      </c>
      <c r="N5" t="s">
        <v>65</v>
      </c>
      <c r="O5">
        <f t="shared" si="1"/>
        <v>0.5</v>
      </c>
      <c r="P5" t="s">
        <v>65</v>
      </c>
      <c r="Q5">
        <f t="shared" si="2"/>
        <v>-0.5</v>
      </c>
      <c r="R5" t="s">
        <v>65</v>
      </c>
      <c r="S5">
        <f t="shared" si="3"/>
        <v>0.5</v>
      </c>
      <c r="T5" t="s">
        <v>67</v>
      </c>
      <c r="U5">
        <f t="shared" si="4"/>
        <v>-1</v>
      </c>
      <c r="V5" t="s">
        <v>67</v>
      </c>
      <c r="W5">
        <f t="shared" si="5"/>
        <v>1</v>
      </c>
      <c r="X5" t="s">
        <v>67</v>
      </c>
      <c r="Y5">
        <f t="shared" si="6"/>
        <v>1</v>
      </c>
      <c r="Z5" t="s">
        <v>85</v>
      </c>
      <c r="AA5">
        <f t="shared" si="7"/>
        <v>0.5</v>
      </c>
      <c r="AB5" s="2">
        <f t="shared" si="8"/>
        <v>1</v>
      </c>
      <c r="AC5" s="2">
        <f t="shared" si="9"/>
        <v>1.125</v>
      </c>
      <c r="AD5" t="s">
        <v>65</v>
      </c>
      <c r="AE5">
        <f t="shared" si="10"/>
        <v>0.5</v>
      </c>
      <c r="AF5" t="s">
        <v>68</v>
      </c>
      <c r="AG5">
        <f t="shared" si="11"/>
        <v>-1</v>
      </c>
      <c r="AH5" t="s">
        <v>67</v>
      </c>
      <c r="AI5">
        <f t="shared" si="12"/>
        <v>1</v>
      </c>
      <c r="AJ5" t="s">
        <v>70</v>
      </c>
      <c r="AK5">
        <f t="shared" si="13"/>
        <v>-1</v>
      </c>
      <c r="AL5" t="s">
        <v>67</v>
      </c>
      <c r="AM5">
        <f t="shared" si="14"/>
        <v>-1</v>
      </c>
      <c r="AN5" t="s">
        <v>66</v>
      </c>
      <c r="AO5">
        <f t="shared" si="15"/>
        <v>0.5</v>
      </c>
      <c r="AP5" t="s">
        <v>66</v>
      </c>
      <c r="AQ5">
        <f t="shared" si="16"/>
        <v>0.5</v>
      </c>
      <c r="AR5" t="s">
        <v>67</v>
      </c>
      <c r="AS5">
        <f t="shared" si="17"/>
        <v>1</v>
      </c>
      <c r="AT5" t="s">
        <v>66</v>
      </c>
      <c r="AU5">
        <f t="shared" si="18"/>
        <v>0.5</v>
      </c>
      <c r="AV5" s="2">
        <f t="shared" si="19"/>
        <v>1</v>
      </c>
      <c r="AW5" s="1" t="s">
        <v>132</v>
      </c>
      <c r="AX5" t="s">
        <v>65</v>
      </c>
      <c r="AY5" t="s">
        <v>65</v>
      </c>
      <c r="AZ5" t="s">
        <v>66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67</v>
      </c>
      <c r="BG5" t="s">
        <v>67</v>
      </c>
      <c r="BH5" t="s">
        <v>67</v>
      </c>
      <c r="BN5" t="s">
        <v>71</v>
      </c>
      <c r="BY5" t="s">
        <v>73</v>
      </c>
      <c r="BZ5" t="s">
        <v>73</v>
      </c>
      <c r="CA5" t="s">
        <v>73</v>
      </c>
    </row>
    <row r="6" spans="1:80" x14ac:dyDescent="0.25">
      <c r="A6">
        <v>45547.89947956019</v>
      </c>
      <c r="B6" t="s">
        <v>86</v>
      </c>
      <c r="C6">
        <v>2000</v>
      </c>
      <c r="D6" t="s">
        <v>59</v>
      </c>
      <c r="E6" t="s">
        <v>60</v>
      </c>
      <c r="F6" t="s">
        <v>61</v>
      </c>
      <c r="G6" t="s">
        <v>76</v>
      </c>
      <c r="H6" t="s">
        <v>83</v>
      </c>
      <c r="I6" t="s">
        <v>63</v>
      </c>
      <c r="J6" t="s">
        <v>77</v>
      </c>
      <c r="K6" s="1" t="s">
        <v>132</v>
      </c>
      <c r="L6" t="s">
        <v>66</v>
      </c>
      <c r="M6">
        <f t="shared" si="0"/>
        <v>0.5</v>
      </c>
      <c r="N6" t="s">
        <v>66</v>
      </c>
      <c r="O6">
        <f t="shared" si="1"/>
        <v>-0.5</v>
      </c>
      <c r="P6" t="s">
        <v>67</v>
      </c>
      <c r="Q6">
        <f t="shared" si="2"/>
        <v>-1</v>
      </c>
      <c r="R6" t="s">
        <v>67</v>
      </c>
      <c r="S6">
        <f t="shared" si="3"/>
        <v>1</v>
      </c>
      <c r="T6" t="s">
        <v>65</v>
      </c>
      <c r="U6">
        <f t="shared" si="4"/>
        <v>-0.5</v>
      </c>
      <c r="V6" t="s">
        <v>66</v>
      </c>
      <c r="W6">
        <f t="shared" si="5"/>
        <v>-0.5</v>
      </c>
      <c r="X6" t="s">
        <v>65</v>
      </c>
      <c r="Y6">
        <f t="shared" si="6"/>
        <v>0.5</v>
      </c>
      <c r="Z6" t="s">
        <v>69</v>
      </c>
      <c r="AA6">
        <f t="shared" si="7"/>
        <v>-1</v>
      </c>
      <c r="AB6" s="2">
        <f t="shared" si="8"/>
        <v>-1.5</v>
      </c>
      <c r="AC6" s="2">
        <f t="shared" si="9"/>
        <v>-1.6875</v>
      </c>
      <c r="AD6" t="s">
        <v>69</v>
      </c>
      <c r="AE6">
        <f t="shared" si="10"/>
        <v>-1</v>
      </c>
      <c r="AF6" t="s">
        <v>66</v>
      </c>
      <c r="AG6">
        <f t="shared" si="11"/>
        <v>0.5</v>
      </c>
      <c r="AH6" t="s">
        <v>66</v>
      </c>
      <c r="AI6">
        <f t="shared" si="12"/>
        <v>-0.5</v>
      </c>
      <c r="AJ6" t="s">
        <v>70</v>
      </c>
      <c r="AK6">
        <f t="shared" si="13"/>
        <v>-1</v>
      </c>
      <c r="AL6" t="s">
        <v>67</v>
      </c>
      <c r="AM6">
        <f t="shared" si="14"/>
        <v>-1</v>
      </c>
      <c r="AN6" t="s">
        <v>65</v>
      </c>
      <c r="AO6">
        <f t="shared" si="15"/>
        <v>-0.5</v>
      </c>
      <c r="AP6" t="s">
        <v>69</v>
      </c>
      <c r="AQ6">
        <f t="shared" si="16"/>
        <v>1</v>
      </c>
      <c r="AR6" t="s">
        <v>67</v>
      </c>
      <c r="AS6">
        <f t="shared" si="17"/>
        <v>1</v>
      </c>
      <c r="AT6" t="s">
        <v>65</v>
      </c>
      <c r="AU6">
        <f t="shared" si="18"/>
        <v>-0.5</v>
      </c>
      <c r="AV6" s="2">
        <f t="shared" si="19"/>
        <v>-2</v>
      </c>
      <c r="AW6" s="1" t="s">
        <v>132</v>
      </c>
      <c r="AX6" t="s">
        <v>66</v>
      </c>
      <c r="AY6" t="s">
        <v>67</v>
      </c>
      <c r="AZ6" t="s">
        <v>69</v>
      </c>
      <c r="BA6" t="s">
        <v>65</v>
      </c>
      <c r="BB6" t="s">
        <v>69</v>
      </c>
      <c r="BC6" t="s">
        <v>69</v>
      </c>
      <c r="BD6" t="s">
        <v>69</v>
      </c>
      <c r="BE6" t="s">
        <v>69</v>
      </c>
      <c r="BF6" t="s">
        <v>67</v>
      </c>
      <c r="BG6" t="s">
        <v>65</v>
      </c>
      <c r="BH6" t="s">
        <v>66</v>
      </c>
      <c r="BK6" t="s">
        <v>71</v>
      </c>
      <c r="BY6" t="s">
        <v>87</v>
      </c>
      <c r="BZ6" t="s">
        <v>79</v>
      </c>
      <c r="CA6" t="s">
        <v>79</v>
      </c>
    </row>
    <row r="7" spans="1:80" x14ac:dyDescent="0.25">
      <c r="A7">
        <v>45547.899490775468</v>
      </c>
      <c r="B7" t="s">
        <v>88</v>
      </c>
      <c r="C7">
        <v>1997</v>
      </c>
      <c r="D7" t="s">
        <v>75</v>
      </c>
      <c r="E7" t="s">
        <v>60</v>
      </c>
      <c r="F7" t="s">
        <v>76</v>
      </c>
      <c r="G7" t="s">
        <v>61</v>
      </c>
      <c r="H7" t="s">
        <v>83</v>
      </c>
      <c r="I7" t="s">
        <v>89</v>
      </c>
      <c r="J7" t="s">
        <v>90</v>
      </c>
      <c r="K7" s="1" t="s">
        <v>132</v>
      </c>
      <c r="L7" t="s">
        <v>70</v>
      </c>
      <c r="M7">
        <f t="shared" si="0"/>
        <v>1</v>
      </c>
      <c r="N7" t="s">
        <v>67</v>
      </c>
      <c r="O7">
        <f t="shared" si="1"/>
        <v>1</v>
      </c>
      <c r="P7" t="s">
        <v>68</v>
      </c>
      <c r="Q7">
        <f t="shared" si="2"/>
        <v>-1</v>
      </c>
      <c r="R7" t="s">
        <v>68</v>
      </c>
      <c r="S7">
        <f t="shared" si="3"/>
        <v>1</v>
      </c>
      <c r="T7" t="s">
        <v>70</v>
      </c>
      <c r="U7">
        <f t="shared" si="4"/>
        <v>1</v>
      </c>
      <c r="V7" t="s">
        <v>68</v>
      </c>
      <c r="W7">
        <f t="shared" si="5"/>
        <v>1</v>
      </c>
      <c r="X7" t="s">
        <v>69</v>
      </c>
      <c r="Y7">
        <f t="shared" si="6"/>
        <v>-1</v>
      </c>
      <c r="Z7" t="s">
        <v>69</v>
      </c>
      <c r="AA7">
        <f t="shared" si="7"/>
        <v>-1</v>
      </c>
      <c r="AB7" s="2">
        <f t="shared" si="8"/>
        <v>2</v>
      </c>
      <c r="AC7" s="2">
        <f t="shared" si="9"/>
        <v>2.25</v>
      </c>
      <c r="AD7" t="s">
        <v>70</v>
      </c>
      <c r="AE7">
        <f t="shared" si="10"/>
        <v>-1</v>
      </c>
      <c r="AF7" t="s">
        <v>68</v>
      </c>
      <c r="AG7">
        <f t="shared" si="11"/>
        <v>-1</v>
      </c>
      <c r="AH7" t="s">
        <v>69</v>
      </c>
      <c r="AI7">
        <f t="shared" si="12"/>
        <v>-1</v>
      </c>
      <c r="AJ7" t="s">
        <v>70</v>
      </c>
      <c r="AK7">
        <f t="shared" si="13"/>
        <v>-1</v>
      </c>
      <c r="AL7" t="s">
        <v>65</v>
      </c>
      <c r="AM7">
        <f t="shared" si="14"/>
        <v>-0.5</v>
      </c>
      <c r="AN7" t="s">
        <v>70</v>
      </c>
      <c r="AO7">
        <f t="shared" si="15"/>
        <v>1</v>
      </c>
      <c r="AP7" t="s">
        <v>68</v>
      </c>
      <c r="AQ7">
        <f t="shared" si="16"/>
        <v>-1</v>
      </c>
      <c r="AR7" t="s">
        <v>68</v>
      </c>
      <c r="AS7">
        <f t="shared" si="17"/>
        <v>1</v>
      </c>
      <c r="AT7" t="s">
        <v>70</v>
      </c>
      <c r="AU7">
        <f t="shared" si="18"/>
        <v>1</v>
      </c>
      <c r="AV7" s="2">
        <f t="shared" si="19"/>
        <v>-2.5</v>
      </c>
      <c r="AW7" s="1" t="s">
        <v>132</v>
      </c>
      <c r="AX7" t="s">
        <v>68</v>
      </c>
      <c r="AY7" t="s">
        <v>67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68</v>
      </c>
      <c r="BH7" t="s">
        <v>68</v>
      </c>
      <c r="BI7" t="s">
        <v>71</v>
      </c>
      <c r="BN7" t="s">
        <v>71</v>
      </c>
      <c r="BY7" t="s">
        <v>72</v>
      </c>
      <c r="BZ7" t="s">
        <v>72</v>
      </c>
      <c r="CA7" t="s">
        <v>73</v>
      </c>
    </row>
    <row r="8" spans="1:80" x14ac:dyDescent="0.25">
      <c r="A8">
        <v>45547.899888159722</v>
      </c>
      <c r="B8" t="s">
        <v>91</v>
      </c>
      <c r="C8">
        <v>2003</v>
      </c>
      <c r="D8" t="s">
        <v>59</v>
      </c>
      <c r="E8" t="s">
        <v>60</v>
      </c>
      <c r="F8" t="s">
        <v>92</v>
      </c>
      <c r="G8" t="s">
        <v>82</v>
      </c>
      <c r="H8" t="s">
        <v>93</v>
      </c>
      <c r="I8" t="s">
        <v>63</v>
      </c>
      <c r="J8" t="s">
        <v>64</v>
      </c>
      <c r="K8" s="1" t="s">
        <v>132</v>
      </c>
      <c r="L8" t="s">
        <v>65</v>
      </c>
      <c r="M8">
        <f t="shared" si="0"/>
        <v>-0.5</v>
      </c>
      <c r="N8" t="s">
        <v>65</v>
      </c>
      <c r="O8">
        <f t="shared" si="1"/>
        <v>0.5</v>
      </c>
      <c r="P8" t="s">
        <v>67</v>
      </c>
      <c r="Q8">
        <f t="shared" si="2"/>
        <v>-1</v>
      </c>
      <c r="R8" t="s">
        <v>65</v>
      </c>
      <c r="S8">
        <f t="shared" si="3"/>
        <v>0.5</v>
      </c>
      <c r="T8" t="s">
        <v>65</v>
      </c>
      <c r="U8">
        <f t="shared" si="4"/>
        <v>-0.5</v>
      </c>
      <c r="V8" t="s">
        <v>68</v>
      </c>
      <c r="W8">
        <f t="shared" si="5"/>
        <v>1</v>
      </c>
      <c r="X8" t="s">
        <v>65</v>
      </c>
      <c r="Y8">
        <f t="shared" si="6"/>
        <v>0.5</v>
      </c>
      <c r="Z8" t="s">
        <v>69</v>
      </c>
      <c r="AA8">
        <f t="shared" si="7"/>
        <v>-1</v>
      </c>
      <c r="AB8" s="2">
        <f t="shared" si="8"/>
        <v>-0.5</v>
      </c>
      <c r="AC8" s="2">
        <f t="shared" si="9"/>
        <v>-0.5625</v>
      </c>
      <c r="AD8" t="s">
        <v>69</v>
      </c>
      <c r="AE8">
        <f t="shared" si="10"/>
        <v>-1</v>
      </c>
      <c r="AF8" t="s">
        <v>67</v>
      </c>
      <c r="AG8">
        <f t="shared" si="11"/>
        <v>-1</v>
      </c>
      <c r="AH8" t="s">
        <v>65</v>
      </c>
      <c r="AI8">
        <f t="shared" si="12"/>
        <v>0.5</v>
      </c>
      <c r="AJ8" t="s">
        <v>70</v>
      </c>
      <c r="AK8">
        <f t="shared" si="13"/>
        <v>-1</v>
      </c>
      <c r="AL8" t="s">
        <v>68</v>
      </c>
      <c r="AM8">
        <f t="shared" si="14"/>
        <v>-1</v>
      </c>
      <c r="AN8" t="s">
        <v>69</v>
      </c>
      <c r="AO8">
        <f t="shared" si="15"/>
        <v>1</v>
      </c>
      <c r="AP8" t="s">
        <v>67</v>
      </c>
      <c r="AQ8">
        <f t="shared" si="16"/>
        <v>-1</v>
      </c>
      <c r="AR8" t="s">
        <v>69</v>
      </c>
      <c r="AS8">
        <f t="shared" si="17"/>
        <v>-1</v>
      </c>
      <c r="AT8" t="s">
        <v>70</v>
      </c>
      <c r="AU8">
        <f t="shared" si="18"/>
        <v>1</v>
      </c>
      <c r="AV8" s="2">
        <f t="shared" si="19"/>
        <v>-3.5</v>
      </c>
      <c r="AW8" s="1" t="s">
        <v>132</v>
      </c>
      <c r="AX8" t="s">
        <v>68</v>
      </c>
      <c r="AY8" t="s">
        <v>66</v>
      </c>
      <c r="AZ8" t="s">
        <v>65</v>
      </c>
      <c r="BA8" t="s">
        <v>67</v>
      </c>
      <c r="BB8" t="s">
        <v>65</v>
      </c>
      <c r="BC8" t="s">
        <v>67</v>
      </c>
      <c r="BD8" t="s">
        <v>67</v>
      </c>
      <c r="BE8" t="s">
        <v>67</v>
      </c>
      <c r="BF8" t="s">
        <v>67</v>
      </c>
      <c r="BG8" t="s">
        <v>66</v>
      </c>
      <c r="BH8" t="s">
        <v>69</v>
      </c>
      <c r="BI8" t="s">
        <v>71</v>
      </c>
      <c r="BK8" t="s">
        <v>71</v>
      </c>
      <c r="BL8" t="s">
        <v>71</v>
      </c>
      <c r="BN8" t="s">
        <v>71</v>
      </c>
      <c r="BS8" t="s">
        <v>71</v>
      </c>
      <c r="BY8" t="s">
        <v>72</v>
      </c>
      <c r="BZ8" t="s">
        <v>73</v>
      </c>
      <c r="CA8" t="s">
        <v>73</v>
      </c>
    </row>
    <row r="9" spans="1:80" x14ac:dyDescent="0.25">
      <c r="A9">
        <v>45547.900090775467</v>
      </c>
      <c r="B9" t="s">
        <v>94</v>
      </c>
      <c r="C9">
        <v>2000</v>
      </c>
      <c r="D9" t="s">
        <v>59</v>
      </c>
      <c r="E9" t="s">
        <v>95</v>
      </c>
      <c r="F9" t="s">
        <v>76</v>
      </c>
      <c r="G9" t="s">
        <v>96</v>
      </c>
      <c r="H9" t="s">
        <v>83</v>
      </c>
      <c r="I9" t="s">
        <v>89</v>
      </c>
      <c r="J9" t="s">
        <v>90</v>
      </c>
      <c r="K9" s="1" t="s">
        <v>132</v>
      </c>
      <c r="L9" t="s">
        <v>67</v>
      </c>
      <c r="M9">
        <f t="shared" si="0"/>
        <v>-1</v>
      </c>
      <c r="N9" t="s">
        <v>66</v>
      </c>
      <c r="O9">
        <f t="shared" si="1"/>
        <v>-0.5</v>
      </c>
      <c r="P9" t="s">
        <v>67</v>
      </c>
      <c r="Q9">
        <f t="shared" si="2"/>
        <v>-1</v>
      </c>
      <c r="R9" t="s">
        <v>67</v>
      </c>
      <c r="S9">
        <f t="shared" si="3"/>
        <v>1</v>
      </c>
      <c r="T9" t="s">
        <v>69</v>
      </c>
      <c r="U9">
        <f t="shared" si="4"/>
        <v>1</v>
      </c>
      <c r="V9" t="s">
        <v>67</v>
      </c>
      <c r="W9">
        <f t="shared" si="5"/>
        <v>1</v>
      </c>
      <c r="X9" t="s">
        <v>66</v>
      </c>
      <c r="Y9">
        <f t="shared" si="6"/>
        <v>-0.5</v>
      </c>
      <c r="Z9" t="s">
        <v>69</v>
      </c>
      <c r="AA9">
        <f t="shared" si="7"/>
        <v>-1</v>
      </c>
      <c r="AB9" s="2">
        <f t="shared" si="8"/>
        <v>-1</v>
      </c>
      <c r="AC9" s="2">
        <f t="shared" si="9"/>
        <v>-1.125</v>
      </c>
      <c r="AD9" t="s">
        <v>69</v>
      </c>
      <c r="AE9">
        <f t="shared" si="10"/>
        <v>-1</v>
      </c>
      <c r="AF9" t="s">
        <v>67</v>
      </c>
      <c r="AG9">
        <f t="shared" si="11"/>
        <v>-1</v>
      </c>
      <c r="AH9" t="s">
        <v>66</v>
      </c>
      <c r="AI9">
        <f t="shared" si="12"/>
        <v>-0.5</v>
      </c>
      <c r="AJ9" t="s">
        <v>65</v>
      </c>
      <c r="AK9">
        <f t="shared" si="13"/>
        <v>0.5</v>
      </c>
      <c r="AL9" t="s">
        <v>68</v>
      </c>
      <c r="AM9">
        <f t="shared" si="14"/>
        <v>-1</v>
      </c>
      <c r="AN9" t="s">
        <v>65</v>
      </c>
      <c r="AO9">
        <f t="shared" si="15"/>
        <v>-0.5</v>
      </c>
      <c r="AP9" t="s">
        <v>67</v>
      </c>
      <c r="AQ9">
        <f t="shared" si="16"/>
        <v>-1</v>
      </c>
      <c r="AR9" t="s">
        <v>68</v>
      </c>
      <c r="AS9">
        <f t="shared" si="17"/>
        <v>1</v>
      </c>
      <c r="AT9" t="s">
        <v>69</v>
      </c>
      <c r="AU9">
        <f t="shared" si="18"/>
        <v>1</v>
      </c>
      <c r="AV9" s="2">
        <f t="shared" si="19"/>
        <v>-2.5</v>
      </c>
      <c r="AW9" s="1" t="s">
        <v>132</v>
      </c>
      <c r="AX9" t="s">
        <v>65</v>
      </c>
      <c r="AY9" t="s">
        <v>66</v>
      </c>
      <c r="AZ9" t="s">
        <v>66</v>
      </c>
      <c r="BA9" t="s">
        <v>67</v>
      </c>
      <c r="BB9" t="s">
        <v>67</v>
      </c>
      <c r="BC9" t="s">
        <v>65</v>
      </c>
      <c r="BD9" t="s">
        <v>65</v>
      </c>
      <c r="BE9" t="s">
        <v>67</v>
      </c>
      <c r="BF9" t="s">
        <v>69</v>
      </c>
      <c r="BG9" t="s">
        <v>68</v>
      </c>
      <c r="BH9" t="s">
        <v>67</v>
      </c>
      <c r="BK9" t="s">
        <v>71</v>
      </c>
      <c r="BW9" t="s">
        <v>71</v>
      </c>
      <c r="BY9" t="s">
        <v>97</v>
      </c>
      <c r="BZ9" t="s">
        <v>97</v>
      </c>
      <c r="CA9" t="s">
        <v>98</v>
      </c>
    </row>
    <row r="10" spans="1:80" x14ac:dyDescent="0.25">
      <c r="A10">
        <v>45547.900143368053</v>
      </c>
      <c r="B10" t="s">
        <v>99</v>
      </c>
      <c r="C10">
        <v>2002</v>
      </c>
      <c r="D10" t="s">
        <v>75</v>
      </c>
      <c r="E10" t="s">
        <v>60</v>
      </c>
      <c r="F10" t="s">
        <v>61</v>
      </c>
      <c r="G10" t="s">
        <v>61</v>
      </c>
      <c r="H10" t="s">
        <v>83</v>
      </c>
      <c r="I10" t="s">
        <v>63</v>
      </c>
      <c r="J10" t="s">
        <v>90</v>
      </c>
      <c r="K10" s="1" t="s">
        <v>132</v>
      </c>
      <c r="L10" t="s">
        <v>67</v>
      </c>
      <c r="M10">
        <f t="shared" si="0"/>
        <v>-1</v>
      </c>
      <c r="N10" t="s">
        <v>69</v>
      </c>
      <c r="O10">
        <f t="shared" si="1"/>
        <v>-1</v>
      </c>
      <c r="P10" t="s">
        <v>68</v>
      </c>
      <c r="Q10">
        <f t="shared" si="2"/>
        <v>-1</v>
      </c>
      <c r="R10" t="s">
        <v>65</v>
      </c>
      <c r="S10">
        <f t="shared" si="3"/>
        <v>0.5</v>
      </c>
      <c r="T10" t="s">
        <v>66</v>
      </c>
      <c r="U10">
        <f t="shared" si="4"/>
        <v>0.5</v>
      </c>
      <c r="V10" t="s">
        <v>65</v>
      </c>
      <c r="W10">
        <f t="shared" si="5"/>
        <v>0.5</v>
      </c>
      <c r="X10" t="s">
        <v>69</v>
      </c>
      <c r="Y10">
        <f t="shared" si="6"/>
        <v>-1</v>
      </c>
      <c r="Z10" t="s">
        <v>70</v>
      </c>
      <c r="AA10">
        <f t="shared" si="7"/>
        <v>-1</v>
      </c>
      <c r="AB10" s="2">
        <f t="shared" si="8"/>
        <v>-3.5</v>
      </c>
      <c r="AC10" s="2">
        <f t="shared" si="9"/>
        <v>-3.9375</v>
      </c>
      <c r="AD10" t="s">
        <v>70</v>
      </c>
      <c r="AE10">
        <f t="shared" si="10"/>
        <v>-1</v>
      </c>
      <c r="AF10" t="s">
        <v>67</v>
      </c>
      <c r="AG10">
        <f t="shared" si="11"/>
        <v>-1</v>
      </c>
      <c r="AH10" t="s">
        <v>66</v>
      </c>
      <c r="AI10">
        <f t="shared" si="12"/>
        <v>-0.5</v>
      </c>
      <c r="AJ10" t="s">
        <v>70</v>
      </c>
      <c r="AK10">
        <f t="shared" si="13"/>
        <v>-1</v>
      </c>
      <c r="AL10" t="s">
        <v>68</v>
      </c>
      <c r="AM10">
        <f t="shared" si="14"/>
        <v>-1</v>
      </c>
      <c r="AN10" t="s">
        <v>67</v>
      </c>
      <c r="AO10">
        <f t="shared" si="15"/>
        <v>-1</v>
      </c>
      <c r="AP10" t="s">
        <v>69</v>
      </c>
      <c r="AQ10">
        <f t="shared" si="16"/>
        <v>1</v>
      </c>
      <c r="AR10" t="s">
        <v>65</v>
      </c>
      <c r="AS10">
        <f t="shared" si="17"/>
        <v>0.5</v>
      </c>
      <c r="AT10" t="s">
        <v>70</v>
      </c>
      <c r="AU10">
        <f t="shared" si="18"/>
        <v>1</v>
      </c>
      <c r="AV10" s="2">
        <f t="shared" si="19"/>
        <v>-3</v>
      </c>
      <c r="AW10" s="1" t="s">
        <v>132</v>
      </c>
      <c r="AX10" t="s">
        <v>66</v>
      </c>
      <c r="AY10" t="s">
        <v>65</v>
      </c>
      <c r="AZ10" t="s">
        <v>65</v>
      </c>
      <c r="BA10" t="s">
        <v>67</v>
      </c>
      <c r="BB10" t="s">
        <v>65</v>
      </c>
      <c r="BC10" t="s">
        <v>66</v>
      </c>
      <c r="BD10" t="s">
        <v>66</v>
      </c>
      <c r="BE10" t="s">
        <v>66</v>
      </c>
      <c r="BF10" t="s">
        <v>69</v>
      </c>
      <c r="BG10" t="s">
        <v>68</v>
      </c>
      <c r="BH10" t="s">
        <v>70</v>
      </c>
      <c r="BK10" t="s">
        <v>71</v>
      </c>
      <c r="BY10" t="s">
        <v>73</v>
      </c>
      <c r="BZ10" t="s">
        <v>73</v>
      </c>
      <c r="CA10" t="s">
        <v>73</v>
      </c>
    </row>
    <row r="11" spans="1:80" x14ac:dyDescent="0.25">
      <c r="A11">
        <v>45547.900196527778</v>
      </c>
      <c r="B11" t="s">
        <v>100</v>
      </c>
      <c r="C11">
        <v>2000</v>
      </c>
      <c r="D11" t="s">
        <v>59</v>
      </c>
      <c r="E11" t="s">
        <v>95</v>
      </c>
      <c r="F11" t="s">
        <v>96</v>
      </c>
      <c r="G11" t="s">
        <v>76</v>
      </c>
      <c r="H11" t="s">
        <v>83</v>
      </c>
      <c r="I11" t="s">
        <v>63</v>
      </c>
      <c r="J11" t="s">
        <v>90</v>
      </c>
      <c r="K11" s="1" t="s">
        <v>132</v>
      </c>
      <c r="L11" t="s">
        <v>70</v>
      </c>
      <c r="M11">
        <f t="shared" si="0"/>
        <v>1</v>
      </c>
      <c r="N11" t="s">
        <v>70</v>
      </c>
      <c r="O11">
        <f t="shared" si="1"/>
        <v>-1</v>
      </c>
      <c r="P11" t="s">
        <v>68</v>
      </c>
      <c r="Q11">
        <f t="shared" si="2"/>
        <v>-1</v>
      </c>
      <c r="R11" t="s">
        <v>70</v>
      </c>
      <c r="S11">
        <f t="shared" si="3"/>
        <v>-1</v>
      </c>
      <c r="T11" t="s">
        <v>68</v>
      </c>
      <c r="U11">
        <f t="shared" si="4"/>
        <v>-1</v>
      </c>
      <c r="V11" t="s">
        <v>69</v>
      </c>
      <c r="W11">
        <f t="shared" si="5"/>
        <v>-1</v>
      </c>
      <c r="X11" t="s">
        <v>65</v>
      </c>
      <c r="Y11">
        <f t="shared" si="6"/>
        <v>0.5</v>
      </c>
      <c r="Z11" t="s">
        <v>70</v>
      </c>
      <c r="AA11">
        <f t="shared" si="7"/>
        <v>-1</v>
      </c>
      <c r="AB11" s="2">
        <f t="shared" si="8"/>
        <v>-4.5</v>
      </c>
      <c r="AC11" s="2">
        <f t="shared" si="9"/>
        <v>-5.0625</v>
      </c>
      <c r="AD11" t="s">
        <v>69</v>
      </c>
      <c r="AE11">
        <f t="shared" si="10"/>
        <v>-1</v>
      </c>
      <c r="AF11" t="s">
        <v>70</v>
      </c>
      <c r="AG11">
        <f t="shared" si="11"/>
        <v>1</v>
      </c>
      <c r="AH11" t="s">
        <v>70</v>
      </c>
      <c r="AI11">
        <f t="shared" si="12"/>
        <v>-1</v>
      </c>
      <c r="AJ11" t="s">
        <v>70</v>
      </c>
      <c r="AK11">
        <f t="shared" si="13"/>
        <v>-1</v>
      </c>
      <c r="AL11" t="s">
        <v>68</v>
      </c>
      <c r="AM11">
        <f t="shared" si="14"/>
        <v>-1</v>
      </c>
      <c r="AN11" t="s">
        <v>68</v>
      </c>
      <c r="AO11">
        <f t="shared" si="15"/>
        <v>-1</v>
      </c>
      <c r="AP11" t="s">
        <v>68</v>
      </c>
      <c r="AQ11">
        <f t="shared" si="16"/>
        <v>-1</v>
      </c>
      <c r="AR11" t="s">
        <v>70</v>
      </c>
      <c r="AS11">
        <f t="shared" si="17"/>
        <v>-1</v>
      </c>
      <c r="AT11" t="s">
        <v>70</v>
      </c>
      <c r="AU11">
        <f t="shared" si="18"/>
        <v>1</v>
      </c>
      <c r="AV11" s="2">
        <f t="shared" si="19"/>
        <v>-5</v>
      </c>
      <c r="AW11" s="1" t="s">
        <v>132</v>
      </c>
      <c r="AX11" t="s">
        <v>70</v>
      </c>
      <c r="AY11" t="s">
        <v>68</v>
      </c>
      <c r="AZ11" t="s">
        <v>68</v>
      </c>
      <c r="BA11" t="s">
        <v>65</v>
      </c>
      <c r="BB11" t="s">
        <v>65</v>
      </c>
      <c r="BC11" t="s">
        <v>66</v>
      </c>
      <c r="BD11" t="s">
        <v>69</v>
      </c>
      <c r="BE11" t="s">
        <v>70</v>
      </c>
      <c r="BF11" t="s">
        <v>68</v>
      </c>
      <c r="BG11" t="s">
        <v>68</v>
      </c>
      <c r="BH11" t="s">
        <v>70</v>
      </c>
      <c r="BK11" t="s">
        <v>71</v>
      </c>
      <c r="BL11" t="s">
        <v>71</v>
      </c>
      <c r="BQ11" t="s">
        <v>71</v>
      </c>
      <c r="BR11" t="s">
        <v>71</v>
      </c>
      <c r="BV11" t="s">
        <v>71</v>
      </c>
      <c r="BY11" t="s">
        <v>101</v>
      </c>
      <c r="BZ11" t="s">
        <v>79</v>
      </c>
      <c r="CA11" t="s">
        <v>79</v>
      </c>
    </row>
    <row r="12" spans="1:80" x14ac:dyDescent="0.25">
      <c r="A12">
        <v>45547.900220509255</v>
      </c>
      <c r="B12" t="s">
        <v>102</v>
      </c>
      <c r="C12">
        <v>2000</v>
      </c>
      <c r="D12" t="s">
        <v>75</v>
      </c>
      <c r="E12" t="s">
        <v>95</v>
      </c>
      <c r="F12" t="s">
        <v>96</v>
      </c>
      <c r="G12" t="s">
        <v>96</v>
      </c>
      <c r="H12" t="s">
        <v>62</v>
      </c>
      <c r="I12" t="s">
        <v>63</v>
      </c>
      <c r="J12" t="s">
        <v>64</v>
      </c>
      <c r="K12" s="1" t="s">
        <v>132</v>
      </c>
      <c r="L12" t="s">
        <v>65</v>
      </c>
      <c r="M12">
        <f t="shared" si="0"/>
        <v>-0.5</v>
      </c>
      <c r="N12" t="s">
        <v>66</v>
      </c>
      <c r="O12">
        <f t="shared" si="1"/>
        <v>-0.5</v>
      </c>
      <c r="P12" t="s">
        <v>67</v>
      </c>
      <c r="Q12">
        <f t="shared" si="2"/>
        <v>-1</v>
      </c>
      <c r="R12" t="s">
        <v>65</v>
      </c>
      <c r="S12">
        <f t="shared" si="3"/>
        <v>0.5</v>
      </c>
      <c r="T12" t="s">
        <v>65</v>
      </c>
      <c r="U12">
        <f t="shared" si="4"/>
        <v>-0.5</v>
      </c>
      <c r="V12" t="s">
        <v>67</v>
      </c>
      <c r="W12">
        <f t="shared" si="5"/>
        <v>1</v>
      </c>
      <c r="X12" t="s">
        <v>66</v>
      </c>
      <c r="Y12">
        <f t="shared" si="6"/>
        <v>-0.5</v>
      </c>
      <c r="Z12" t="s">
        <v>66</v>
      </c>
      <c r="AA12">
        <f t="shared" si="7"/>
        <v>-0.5</v>
      </c>
      <c r="AB12" s="2">
        <f t="shared" si="8"/>
        <v>-2</v>
      </c>
      <c r="AC12" s="2">
        <f t="shared" si="9"/>
        <v>-2.25</v>
      </c>
      <c r="AD12" t="s">
        <v>65</v>
      </c>
      <c r="AE12">
        <f t="shared" si="10"/>
        <v>0.5</v>
      </c>
      <c r="AF12" t="s">
        <v>67</v>
      </c>
      <c r="AG12">
        <f t="shared" si="11"/>
        <v>-1</v>
      </c>
      <c r="AH12" t="s">
        <v>70</v>
      </c>
      <c r="AI12">
        <f t="shared" si="12"/>
        <v>-1</v>
      </c>
      <c r="AJ12" t="s">
        <v>70</v>
      </c>
      <c r="AK12">
        <f t="shared" si="13"/>
        <v>-1</v>
      </c>
      <c r="AL12" t="s">
        <v>65</v>
      </c>
      <c r="AM12">
        <f t="shared" si="14"/>
        <v>-0.5</v>
      </c>
      <c r="AN12" t="s">
        <v>66</v>
      </c>
      <c r="AO12">
        <f t="shared" si="15"/>
        <v>0.5</v>
      </c>
      <c r="AP12" t="s">
        <v>65</v>
      </c>
      <c r="AQ12">
        <f t="shared" si="16"/>
        <v>-0.5</v>
      </c>
      <c r="AR12" t="s">
        <v>67</v>
      </c>
      <c r="AS12">
        <f t="shared" si="17"/>
        <v>1</v>
      </c>
      <c r="AT12" t="s">
        <v>69</v>
      </c>
      <c r="AU12">
        <f t="shared" si="18"/>
        <v>1</v>
      </c>
      <c r="AV12" s="2">
        <f t="shared" si="19"/>
        <v>-1</v>
      </c>
      <c r="AW12" s="1" t="s">
        <v>132</v>
      </c>
      <c r="AX12" t="s">
        <v>65</v>
      </c>
      <c r="AY12" t="s">
        <v>65</v>
      </c>
      <c r="AZ12" t="s">
        <v>69</v>
      </c>
      <c r="BA12" t="s">
        <v>66</v>
      </c>
      <c r="BB12" t="s">
        <v>67</v>
      </c>
      <c r="BC12" t="s">
        <v>66</v>
      </c>
      <c r="BD12" t="s">
        <v>66</v>
      </c>
      <c r="BE12" t="s">
        <v>65</v>
      </c>
      <c r="BF12" t="s">
        <v>69</v>
      </c>
      <c r="BG12" t="s">
        <v>67</v>
      </c>
      <c r="BH12" t="s">
        <v>67</v>
      </c>
      <c r="BK12" t="s">
        <v>71</v>
      </c>
      <c r="BL12" t="s">
        <v>71</v>
      </c>
      <c r="BV12" t="s">
        <v>71</v>
      </c>
      <c r="BY12" t="s">
        <v>103</v>
      </c>
      <c r="BZ12" t="s">
        <v>73</v>
      </c>
      <c r="CA12" t="s">
        <v>73</v>
      </c>
    </row>
    <row r="13" spans="1:80" x14ac:dyDescent="0.25">
      <c r="A13">
        <v>45547.900811840278</v>
      </c>
      <c r="B13" t="s">
        <v>104</v>
      </c>
      <c r="C13">
        <v>2001</v>
      </c>
      <c r="D13" t="s">
        <v>59</v>
      </c>
      <c r="E13" t="s">
        <v>95</v>
      </c>
      <c r="F13" t="s">
        <v>82</v>
      </c>
      <c r="G13" t="s">
        <v>61</v>
      </c>
      <c r="H13" t="s">
        <v>83</v>
      </c>
      <c r="I13" t="s">
        <v>63</v>
      </c>
      <c r="J13" t="s">
        <v>90</v>
      </c>
      <c r="K13" s="1" t="s">
        <v>132</v>
      </c>
      <c r="L13" t="s">
        <v>69</v>
      </c>
      <c r="M13">
        <f t="shared" si="0"/>
        <v>1</v>
      </c>
      <c r="N13" t="s">
        <v>65</v>
      </c>
      <c r="O13">
        <f t="shared" si="1"/>
        <v>0.5</v>
      </c>
      <c r="P13" t="s">
        <v>67</v>
      </c>
      <c r="Q13">
        <f t="shared" si="2"/>
        <v>-1</v>
      </c>
      <c r="R13" t="s">
        <v>65</v>
      </c>
      <c r="S13">
        <f t="shared" si="3"/>
        <v>0.5</v>
      </c>
      <c r="T13" t="s">
        <v>65</v>
      </c>
      <c r="U13">
        <f t="shared" si="4"/>
        <v>-0.5</v>
      </c>
      <c r="V13" t="s">
        <v>65</v>
      </c>
      <c r="W13">
        <f t="shared" si="5"/>
        <v>0.5</v>
      </c>
      <c r="X13" t="s">
        <v>67</v>
      </c>
      <c r="Y13">
        <f t="shared" si="6"/>
        <v>1</v>
      </c>
      <c r="Z13" t="s">
        <v>85</v>
      </c>
      <c r="AA13">
        <f t="shared" si="7"/>
        <v>0.5</v>
      </c>
      <c r="AB13" s="2">
        <f t="shared" si="8"/>
        <v>2.5</v>
      </c>
      <c r="AC13" s="2">
        <f t="shared" si="9"/>
        <v>2.8125</v>
      </c>
      <c r="AD13" t="s">
        <v>65</v>
      </c>
      <c r="AE13">
        <f t="shared" si="10"/>
        <v>0.5</v>
      </c>
      <c r="AF13" t="s">
        <v>67</v>
      </c>
      <c r="AG13">
        <f t="shared" si="11"/>
        <v>-1</v>
      </c>
      <c r="AH13" t="s">
        <v>67</v>
      </c>
      <c r="AI13">
        <f t="shared" si="12"/>
        <v>1</v>
      </c>
      <c r="AJ13" t="s">
        <v>69</v>
      </c>
      <c r="AK13">
        <f t="shared" si="13"/>
        <v>-1</v>
      </c>
      <c r="AL13" t="s">
        <v>66</v>
      </c>
      <c r="AM13">
        <f t="shared" si="14"/>
        <v>0.5</v>
      </c>
      <c r="AN13" t="s">
        <v>70</v>
      </c>
      <c r="AO13">
        <f t="shared" si="15"/>
        <v>1</v>
      </c>
      <c r="AP13" t="s">
        <v>65</v>
      </c>
      <c r="AQ13">
        <f t="shared" si="16"/>
        <v>-0.5</v>
      </c>
      <c r="AR13" t="s">
        <v>65</v>
      </c>
      <c r="AS13">
        <f t="shared" si="17"/>
        <v>0.5</v>
      </c>
      <c r="AT13" t="s">
        <v>70</v>
      </c>
      <c r="AU13">
        <f t="shared" si="18"/>
        <v>1</v>
      </c>
      <c r="AV13" s="2">
        <f t="shared" si="19"/>
        <v>2</v>
      </c>
      <c r="AW13" s="1" t="s">
        <v>132</v>
      </c>
      <c r="AX13" t="s">
        <v>65</v>
      </c>
      <c r="AY13" t="s">
        <v>65</v>
      </c>
      <c r="AZ13" t="s">
        <v>66</v>
      </c>
      <c r="BA13" t="s">
        <v>67</v>
      </c>
      <c r="BB13" t="s">
        <v>66</v>
      </c>
      <c r="BC13" t="s">
        <v>66</v>
      </c>
      <c r="BD13" t="s">
        <v>70</v>
      </c>
      <c r="BE13" t="s">
        <v>70</v>
      </c>
      <c r="BF13" t="s">
        <v>65</v>
      </c>
      <c r="BG13" t="s">
        <v>68</v>
      </c>
      <c r="BH13" t="s">
        <v>65</v>
      </c>
      <c r="BK13" t="s">
        <v>71</v>
      </c>
      <c r="BY13" t="s">
        <v>72</v>
      </c>
      <c r="BZ13" t="s">
        <v>72</v>
      </c>
      <c r="CA13" t="s">
        <v>73</v>
      </c>
    </row>
    <row r="14" spans="1:80" x14ac:dyDescent="0.25">
      <c r="A14">
        <v>45547.900887152777</v>
      </c>
      <c r="B14" t="s">
        <v>105</v>
      </c>
      <c r="C14">
        <v>2003</v>
      </c>
      <c r="D14" t="s">
        <v>59</v>
      </c>
      <c r="E14" t="s">
        <v>95</v>
      </c>
      <c r="F14" t="s">
        <v>76</v>
      </c>
      <c r="G14" t="s">
        <v>82</v>
      </c>
      <c r="H14" t="s">
        <v>62</v>
      </c>
      <c r="I14" t="s">
        <v>63</v>
      </c>
      <c r="J14" t="s">
        <v>77</v>
      </c>
      <c r="K14" s="1" t="s">
        <v>132</v>
      </c>
      <c r="L14" t="s">
        <v>65</v>
      </c>
      <c r="M14">
        <f t="shared" si="0"/>
        <v>-0.5</v>
      </c>
      <c r="N14" t="s">
        <v>68</v>
      </c>
      <c r="O14">
        <f t="shared" si="1"/>
        <v>1</v>
      </c>
      <c r="P14" t="s">
        <v>67</v>
      </c>
      <c r="Q14">
        <f t="shared" si="2"/>
        <v>-1</v>
      </c>
      <c r="R14" t="s">
        <v>68</v>
      </c>
      <c r="S14">
        <f t="shared" si="3"/>
        <v>1</v>
      </c>
      <c r="T14" t="s">
        <v>69</v>
      </c>
      <c r="U14">
        <f t="shared" si="4"/>
        <v>1</v>
      </c>
      <c r="V14" t="s">
        <v>69</v>
      </c>
      <c r="W14">
        <f t="shared" si="5"/>
        <v>-1</v>
      </c>
      <c r="X14" t="s">
        <v>68</v>
      </c>
      <c r="Y14">
        <f t="shared" si="6"/>
        <v>1</v>
      </c>
      <c r="Z14" t="s">
        <v>67</v>
      </c>
      <c r="AA14">
        <f t="shared" si="7"/>
        <v>1</v>
      </c>
      <c r="AB14" s="2">
        <f t="shared" si="8"/>
        <v>2.5</v>
      </c>
      <c r="AC14" s="2">
        <f t="shared" si="9"/>
        <v>2.8125</v>
      </c>
      <c r="AD14" t="s">
        <v>65</v>
      </c>
      <c r="AE14">
        <f t="shared" si="10"/>
        <v>0.5</v>
      </c>
      <c r="AF14" t="s">
        <v>67</v>
      </c>
      <c r="AG14">
        <f t="shared" si="11"/>
        <v>-1</v>
      </c>
      <c r="AH14" t="s">
        <v>67</v>
      </c>
      <c r="AI14">
        <f t="shared" si="12"/>
        <v>1</v>
      </c>
      <c r="AJ14" t="s">
        <v>67</v>
      </c>
      <c r="AK14">
        <f t="shared" si="13"/>
        <v>1</v>
      </c>
      <c r="AL14" t="s">
        <v>65</v>
      </c>
      <c r="AM14">
        <f t="shared" si="14"/>
        <v>-0.5</v>
      </c>
      <c r="AN14" t="s">
        <v>70</v>
      </c>
      <c r="AO14">
        <f t="shared" si="15"/>
        <v>1</v>
      </c>
      <c r="AP14" t="s">
        <v>67</v>
      </c>
      <c r="AQ14">
        <f t="shared" si="16"/>
        <v>-1</v>
      </c>
      <c r="AR14" t="s">
        <v>68</v>
      </c>
      <c r="AS14">
        <f t="shared" si="17"/>
        <v>1</v>
      </c>
      <c r="AT14" t="s">
        <v>67</v>
      </c>
      <c r="AU14">
        <f t="shared" si="18"/>
        <v>-1</v>
      </c>
      <c r="AV14" s="2">
        <f t="shared" si="19"/>
        <v>1</v>
      </c>
      <c r="AW14" s="1" t="s">
        <v>132</v>
      </c>
      <c r="AX14" t="s">
        <v>68</v>
      </c>
      <c r="AY14" t="s">
        <v>68</v>
      </c>
      <c r="AZ14" t="s">
        <v>67</v>
      </c>
      <c r="BA14" t="s">
        <v>69</v>
      </c>
      <c r="BB14" t="s">
        <v>69</v>
      </c>
      <c r="BC14" t="s">
        <v>66</v>
      </c>
      <c r="BD14" t="s">
        <v>65</v>
      </c>
      <c r="BE14" t="s">
        <v>67</v>
      </c>
      <c r="BF14" t="s">
        <v>65</v>
      </c>
      <c r="BG14" t="s">
        <v>67</v>
      </c>
      <c r="BH14" t="s">
        <v>67</v>
      </c>
      <c r="BI14" t="s">
        <v>71</v>
      </c>
      <c r="BN14" t="s">
        <v>71</v>
      </c>
      <c r="BS14" t="s">
        <v>71</v>
      </c>
      <c r="BY14" t="s">
        <v>73</v>
      </c>
      <c r="BZ14" t="s">
        <v>73</v>
      </c>
      <c r="CA14" t="s">
        <v>73</v>
      </c>
    </row>
    <row r="15" spans="1:80" x14ac:dyDescent="0.25">
      <c r="A15">
        <v>45547.901088287035</v>
      </c>
      <c r="B15" t="s">
        <v>106</v>
      </c>
      <c r="C15">
        <v>2001</v>
      </c>
      <c r="D15" t="s">
        <v>59</v>
      </c>
      <c r="E15" t="s">
        <v>95</v>
      </c>
      <c r="F15" t="s">
        <v>107</v>
      </c>
      <c r="G15" t="s">
        <v>76</v>
      </c>
      <c r="H15" t="s">
        <v>62</v>
      </c>
      <c r="I15" t="s">
        <v>63</v>
      </c>
      <c r="J15" t="s">
        <v>77</v>
      </c>
      <c r="K15" s="1" t="s">
        <v>132</v>
      </c>
      <c r="L15" t="s">
        <v>65</v>
      </c>
      <c r="M15">
        <f t="shared" si="0"/>
        <v>-0.5</v>
      </c>
      <c r="N15" t="s">
        <v>65</v>
      </c>
      <c r="O15">
        <f t="shared" si="1"/>
        <v>0.5</v>
      </c>
      <c r="P15" t="s">
        <v>65</v>
      </c>
      <c r="Q15">
        <f t="shared" si="2"/>
        <v>-0.5</v>
      </c>
      <c r="R15" t="s">
        <v>65</v>
      </c>
      <c r="S15">
        <f t="shared" si="3"/>
        <v>0.5</v>
      </c>
      <c r="T15" t="s">
        <v>65</v>
      </c>
      <c r="U15">
        <f t="shared" si="4"/>
        <v>-0.5</v>
      </c>
      <c r="V15" t="s">
        <v>67</v>
      </c>
      <c r="W15">
        <f t="shared" si="5"/>
        <v>1</v>
      </c>
      <c r="X15" t="s">
        <v>65</v>
      </c>
      <c r="Y15">
        <f t="shared" si="6"/>
        <v>0.5</v>
      </c>
      <c r="Z15" t="s">
        <v>66</v>
      </c>
      <c r="AA15">
        <f t="shared" si="7"/>
        <v>-0.5</v>
      </c>
      <c r="AB15" s="2">
        <f t="shared" si="8"/>
        <v>0.5</v>
      </c>
      <c r="AC15" s="2">
        <f t="shared" si="9"/>
        <v>0.5625</v>
      </c>
      <c r="AD15" t="s">
        <v>66</v>
      </c>
      <c r="AE15">
        <f t="shared" si="10"/>
        <v>-0.5</v>
      </c>
      <c r="AF15" t="s">
        <v>67</v>
      </c>
      <c r="AG15">
        <f t="shared" si="11"/>
        <v>-1</v>
      </c>
      <c r="AH15" t="s">
        <v>66</v>
      </c>
      <c r="AI15">
        <f t="shared" si="12"/>
        <v>-0.5</v>
      </c>
      <c r="AJ15" t="s">
        <v>66</v>
      </c>
      <c r="AK15">
        <f t="shared" si="13"/>
        <v>-0.5</v>
      </c>
      <c r="AL15" t="s">
        <v>67</v>
      </c>
      <c r="AM15">
        <f t="shared" si="14"/>
        <v>-1</v>
      </c>
      <c r="AN15" t="s">
        <v>70</v>
      </c>
      <c r="AO15">
        <f t="shared" si="15"/>
        <v>1</v>
      </c>
      <c r="AP15" t="s">
        <v>65</v>
      </c>
      <c r="AQ15">
        <f t="shared" si="16"/>
        <v>-0.5</v>
      </c>
      <c r="AR15" t="s">
        <v>67</v>
      </c>
      <c r="AS15">
        <f t="shared" si="17"/>
        <v>1</v>
      </c>
      <c r="AT15" t="s">
        <v>70</v>
      </c>
      <c r="AU15">
        <f t="shared" si="18"/>
        <v>1</v>
      </c>
      <c r="AV15" s="2">
        <f t="shared" si="19"/>
        <v>-1</v>
      </c>
      <c r="AW15" s="1" t="s">
        <v>132</v>
      </c>
      <c r="AX15" t="s">
        <v>67</v>
      </c>
      <c r="AY15" t="s">
        <v>65</v>
      </c>
      <c r="AZ15" t="s">
        <v>69</v>
      </c>
      <c r="BA15" t="s">
        <v>69</v>
      </c>
      <c r="BB15" t="s">
        <v>70</v>
      </c>
      <c r="BC15" t="s">
        <v>70</v>
      </c>
      <c r="BD15" t="s">
        <v>70</v>
      </c>
      <c r="BE15" t="s">
        <v>69</v>
      </c>
      <c r="BF15" t="s">
        <v>67</v>
      </c>
      <c r="BG15" t="s">
        <v>66</v>
      </c>
      <c r="BH15" t="s">
        <v>67</v>
      </c>
      <c r="BP15" t="s">
        <v>71</v>
      </c>
      <c r="BY15" t="s">
        <v>87</v>
      </c>
      <c r="BZ15" t="s">
        <v>98</v>
      </c>
      <c r="CA15" t="s">
        <v>98</v>
      </c>
    </row>
    <row r="16" spans="1:80" x14ac:dyDescent="0.25">
      <c r="A16">
        <v>45547.901113668981</v>
      </c>
      <c r="B16" t="s">
        <v>108</v>
      </c>
      <c r="C16">
        <v>2002</v>
      </c>
      <c r="D16" t="s">
        <v>59</v>
      </c>
      <c r="E16" t="s">
        <v>60</v>
      </c>
      <c r="F16" t="s">
        <v>76</v>
      </c>
      <c r="G16" t="s">
        <v>76</v>
      </c>
      <c r="H16" t="s">
        <v>83</v>
      </c>
      <c r="I16" t="s">
        <v>63</v>
      </c>
      <c r="J16" t="s">
        <v>77</v>
      </c>
      <c r="K16" s="1" t="s">
        <v>132</v>
      </c>
      <c r="L16" t="s">
        <v>69</v>
      </c>
      <c r="M16">
        <f t="shared" si="0"/>
        <v>1</v>
      </c>
      <c r="N16" t="s">
        <v>65</v>
      </c>
      <c r="O16">
        <f t="shared" si="1"/>
        <v>0.5</v>
      </c>
      <c r="P16" t="s">
        <v>67</v>
      </c>
      <c r="Q16">
        <f t="shared" si="2"/>
        <v>-1</v>
      </c>
      <c r="R16" t="s">
        <v>68</v>
      </c>
      <c r="S16">
        <f t="shared" si="3"/>
        <v>1</v>
      </c>
      <c r="T16" t="s">
        <v>69</v>
      </c>
      <c r="U16">
        <f t="shared" si="4"/>
        <v>1</v>
      </c>
      <c r="V16" t="s">
        <v>67</v>
      </c>
      <c r="W16">
        <f t="shared" si="5"/>
        <v>1</v>
      </c>
      <c r="X16" t="s">
        <v>65</v>
      </c>
      <c r="Y16">
        <f t="shared" si="6"/>
        <v>0.5</v>
      </c>
      <c r="Z16" t="s">
        <v>66</v>
      </c>
      <c r="AA16">
        <f t="shared" si="7"/>
        <v>-0.5</v>
      </c>
      <c r="AB16" s="2">
        <f t="shared" si="8"/>
        <v>3.5</v>
      </c>
      <c r="AC16" s="2">
        <f t="shared" si="9"/>
        <v>3.9375</v>
      </c>
      <c r="AD16" t="s">
        <v>70</v>
      </c>
      <c r="AE16">
        <f t="shared" si="10"/>
        <v>-1</v>
      </c>
      <c r="AF16" t="s">
        <v>67</v>
      </c>
      <c r="AG16">
        <f t="shared" si="11"/>
        <v>-1</v>
      </c>
      <c r="AH16" t="s">
        <v>66</v>
      </c>
      <c r="AI16">
        <f t="shared" si="12"/>
        <v>-0.5</v>
      </c>
      <c r="AJ16" t="s">
        <v>65</v>
      </c>
      <c r="AK16">
        <f t="shared" si="13"/>
        <v>0.5</v>
      </c>
      <c r="AL16" t="s">
        <v>67</v>
      </c>
      <c r="AM16">
        <f t="shared" si="14"/>
        <v>-1</v>
      </c>
      <c r="AN16" t="s">
        <v>70</v>
      </c>
      <c r="AO16">
        <f t="shared" si="15"/>
        <v>1</v>
      </c>
      <c r="AP16" t="s">
        <v>69</v>
      </c>
      <c r="AQ16">
        <f t="shared" si="16"/>
        <v>1</v>
      </c>
      <c r="AR16" t="s">
        <v>67</v>
      </c>
      <c r="AS16">
        <f t="shared" si="17"/>
        <v>1</v>
      </c>
      <c r="AT16" t="s">
        <v>66</v>
      </c>
      <c r="AU16">
        <f t="shared" si="18"/>
        <v>0.5</v>
      </c>
      <c r="AV16" s="2">
        <f t="shared" si="19"/>
        <v>0.5</v>
      </c>
      <c r="AW16" s="1" t="s">
        <v>132</v>
      </c>
      <c r="AX16" t="s">
        <v>67</v>
      </c>
      <c r="AY16" t="s">
        <v>67</v>
      </c>
      <c r="AZ16" t="s">
        <v>67</v>
      </c>
      <c r="BA16" t="s">
        <v>67</v>
      </c>
      <c r="BB16" t="s">
        <v>65</v>
      </c>
      <c r="BC16" t="s">
        <v>66</v>
      </c>
      <c r="BD16" t="s">
        <v>66</v>
      </c>
      <c r="BE16" t="s">
        <v>65</v>
      </c>
      <c r="BF16" t="s">
        <v>67</v>
      </c>
      <c r="BG16" t="s">
        <v>67</v>
      </c>
      <c r="BH16" t="s">
        <v>67</v>
      </c>
      <c r="BI16" t="s">
        <v>71</v>
      </c>
      <c r="BN16" t="s">
        <v>71</v>
      </c>
      <c r="BY16" t="s">
        <v>98</v>
      </c>
      <c r="BZ16" t="s">
        <v>98</v>
      </c>
      <c r="CA16" t="s">
        <v>73</v>
      </c>
    </row>
    <row r="17" spans="1:79" x14ac:dyDescent="0.25">
      <c r="A17">
        <v>45547.901809155097</v>
      </c>
      <c r="B17" t="s">
        <v>109</v>
      </c>
      <c r="C17">
        <v>2002</v>
      </c>
      <c r="D17" t="s">
        <v>59</v>
      </c>
      <c r="E17" t="s">
        <v>60</v>
      </c>
      <c r="F17" t="s">
        <v>76</v>
      </c>
      <c r="G17" t="s">
        <v>76</v>
      </c>
      <c r="H17" t="s">
        <v>83</v>
      </c>
      <c r="I17" t="s">
        <v>63</v>
      </c>
      <c r="J17" t="s">
        <v>77</v>
      </c>
      <c r="K17" s="1" t="s">
        <v>132</v>
      </c>
      <c r="L17" t="s">
        <v>65</v>
      </c>
      <c r="M17">
        <f t="shared" si="0"/>
        <v>-0.5</v>
      </c>
      <c r="N17" t="s">
        <v>65</v>
      </c>
      <c r="O17">
        <f t="shared" si="1"/>
        <v>0.5</v>
      </c>
      <c r="P17" t="s">
        <v>68</v>
      </c>
      <c r="Q17">
        <f t="shared" si="2"/>
        <v>-1</v>
      </c>
      <c r="R17" t="s">
        <v>67</v>
      </c>
      <c r="S17">
        <f t="shared" si="3"/>
        <v>1</v>
      </c>
      <c r="T17" t="s">
        <v>67</v>
      </c>
      <c r="U17">
        <f t="shared" si="4"/>
        <v>-1</v>
      </c>
      <c r="V17" t="s">
        <v>65</v>
      </c>
      <c r="W17">
        <f t="shared" si="5"/>
        <v>0.5</v>
      </c>
      <c r="X17" t="s">
        <v>65</v>
      </c>
      <c r="Y17">
        <f t="shared" si="6"/>
        <v>0.5</v>
      </c>
      <c r="Z17" t="s">
        <v>66</v>
      </c>
      <c r="AA17">
        <f t="shared" si="7"/>
        <v>-0.5</v>
      </c>
      <c r="AB17" s="2">
        <f t="shared" si="8"/>
        <v>-0.5</v>
      </c>
      <c r="AC17" s="2">
        <f t="shared" si="9"/>
        <v>-0.5625</v>
      </c>
      <c r="AD17" t="s">
        <v>69</v>
      </c>
      <c r="AE17">
        <f t="shared" si="10"/>
        <v>-1</v>
      </c>
      <c r="AF17" t="s">
        <v>69</v>
      </c>
      <c r="AG17">
        <f t="shared" si="11"/>
        <v>1</v>
      </c>
      <c r="AH17" t="s">
        <v>65</v>
      </c>
      <c r="AI17">
        <f t="shared" si="12"/>
        <v>0.5</v>
      </c>
      <c r="AJ17" t="s">
        <v>65</v>
      </c>
      <c r="AK17">
        <f t="shared" si="13"/>
        <v>0.5</v>
      </c>
      <c r="AL17" t="s">
        <v>66</v>
      </c>
      <c r="AM17">
        <f t="shared" si="14"/>
        <v>0.5</v>
      </c>
      <c r="AN17" t="s">
        <v>66</v>
      </c>
      <c r="AO17">
        <f t="shared" si="15"/>
        <v>0.5</v>
      </c>
      <c r="AP17" t="s">
        <v>66</v>
      </c>
      <c r="AQ17">
        <f t="shared" si="16"/>
        <v>0.5</v>
      </c>
      <c r="AR17" t="s">
        <v>65</v>
      </c>
      <c r="AS17">
        <f t="shared" si="17"/>
        <v>0.5</v>
      </c>
      <c r="AT17" t="s">
        <v>70</v>
      </c>
      <c r="AU17">
        <f t="shared" si="18"/>
        <v>1</v>
      </c>
      <c r="AV17" s="2">
        <f t="shared" si="19"/>
        <v>4</v>
      </c>
      <c r="AW17" s="1" t="s">
        <v>132</v>
      </c>
      <c r="AX17" t="s">
        <v>66</v>
      </c>
      <c r="AY17" t="s">
        <v>67</v>
      </c>
      <c r="AZ17" t="s">
        <v>70</v>
      </c>
      <c r="BA17" t="s">
        <v>70</v>
      </c>
      <c r="BB17" t="s">
        <v>70</v>
      </c>
      <c r="BC17" t="s">
        <v>65</v>
      </c>
      <c r="BD17" t="s">
        <v>65</v>
      </c>
      <c r="BE17" t="s">
        <v>65</v>
      </c>
      <c r="BF17" t="s">
        <v>70</v>
      </c>
      <c r="BG17" t="s">
        <v>70</v>
      </c>
      <c r="BH17" t="s">
        <v>69</v>
      </c>
      <c r="BM17" t="s">
        <v>71</v>
      </c>
      <c r="BY17" t="s">
        <v>73</v>
      </c>
      <c r="BZ17" t="s">
        <v>73</v>
      </c>
      <c r="CA17" t="s">
        <v>73</v>
      </c>
    </row>
    <row r="18" spans="1:79" x14ac:dyDescent="0.25">
      <c r="A18">
        <v>45547.902385891204</v>
      </c>
      <c r="B18" t="s">
        <v>110</v>
      </c>
      <c r="C18">
        <v>2000</v>
      </c>
      <c r="D18" t="s">
        <v>59</v>
      </c>
      <c r="E18" t="s">
        <v>60</v>
      </c>
      <c r="F18" t="s">
        <v>107</v>
      </c>
      <c r="G18" t="s">
        <v>82</v>
      </c>
      <c r="H18" t="s">
        <v>62</v>
      </c>
      <c r="I18" t="s">
        <v>63</v>
      </c>
      <c r="J18" t="s">
        <v>64</v>
      </c>
      <c r="K18" s="1" t="s">
        <v>132</v>
      </c>
      <c r="L18" t="s">
        <v>70</v>
      </c>
      <c r="M18">
        <f t="shared" si="0"/>
        <v>1</v>
      </c>
      <c r="N18" t="s">
        <v>65</v>
      </c>
      <c r="O18">
        <f t="shared" si="1"/>
        <v>0.5</v>
      </c>
      <c r="P18" t="s">
        <v>67</v>
      </c>
      <c r="Q18">
        <f t="shared" si="2"/>
        <v>-1</v>
      </c>
      <c r="R18" t="s">
        <v>67</v>
      </c>
      <c r="S18">
        <f t="shared" si="3"/>
        <v>1</v>
      </c>
      <c r="T18" t="s">
        <v>65</v>
      </c>
      <c r="U18">
        <f t="shared" si="4"/>
        <v>-0.5</v>
      </c>
      <c r="V18" t="s">
        <v>68</v>
      </c>
      <c r="W18">
        <f t="shared" si="5"/>
        <v>1</v>
      </c>
      <c r="X18" t="s">
        <v>67</v>
      </c>
      <c r="Y18">
        <f t="shared" si="6"/>
        <v>1</v>
      </c>
      <c r="Z18" t="s">
        <v>70</v>
      </c>
      <c r="AA18">
        <f t="shared" si="7"/>
        <v>-1</v>
      </c>
      <c r="AB18" s="2">
        <f t="shared" si="8"/>
        <v>2</v>
      </c>
      <c r="AC18" s="2">
        <f t="shared" si="9"/>
        <v>2.25</v>
      </c>
      <c r="AD18" t="s">
        <v>69</v>
      </c>
      <c r="AE18">
        <f t="shared" si="10"/>
        <v>-1</v>
      </c>
      <c r="AF18" t="s">
        <v>68</v>
      </c>
      <c r="AG18">
        <f t="shared" si="11"/>
        <v>-1</v>
      </c>
      <c r="AH18" t="s">
        <v>69</v>
      </c>
      <c r="AI18">
        <f t="shared" si="12"/>
        <v>-1</v>
      </c>
      <c r="AJ18" t="s">
        <v>70</v>
      </c>
      <c r="AK18">
        <f t="shared" si="13"/>
        <v>-1</v>
      </c>
      <c r="AL18" t="s">
        <v>69</v>
      </c>
      <c r="AM18">
        <f t="shared" si="14"/>
        <v>1</v>
      </c>
      <c r="AN18" t="s">
        <v>69</v>
      </c>
      <c r="AO18">
        <f t="shared" si="15"/>
        <v>1</v>
      </c>
      <c r="AP18" t="s">
        <v>65</v>
      </c>
      <c r="AQ18">
        <f t="shared" si="16"/>
        <v>-0.5</v>
      </c>
      <c r="AR18" t="s">
        <v>68</v>
      </c>
      <c r="AS18">
        <f t="shared" si="17"/>
        <v>1</v>
      </c>
      <c r="AT18" t="s">
        <v>69</v>
      </c>
      <c r="AU18">
        <f t="shared" si="18"/>
        <v>1</v>
      </c>
      <c r="AV18" s="2">
        <f t="shared" si="19"/>
        <v>-0.5</v>
      </c>
      <c r="AW18" s="1" t="s">
        <v>132</v>
      </c>
      <c r="AX18" t="s">
        <v>67</v>
      </c>
      <c r="AY18" t="s">
        <v>65</v>
      </c>
      <c r="AZ18" t="s">
        <v>70</v>
      </c>
      <c r="BA18" t="s">
        <v>70</v>
      </c>
      <c r="BB18" t="s">
        <v>65</v>
      </c>
      <c r="BC18" t="s">
        <v>70</v>
      </c>
      <c r="BD18" t="s">
        <v>70</v>
      </c>
      <c r="BE18" t="s">
        <v>65</v>
      </c>
      <c r="BF18" t="s">
        <v>68</v>
      </c>
      <c r="BG18" t="s">
        <v>68</v>
      </c>
      <c r="BH18" t="s">
        <v>69</v>
      </c>
      <c r="BI18" t="s">
        <v>71</v>
      </c>
      <c r="BY18" t="s">
        <v>73</v>
      </c>
      <c r="BZ18" t="s">
        <v>73</v>
      </c>
      <c r="CA18" t="s">
        <v>73</v>
      </c>
    </row>
    <row r="19" spans="1:79" x14ac:dyDescent="0.25">
      <c r="A19">
        <v>45547.902460983794</v>
      </c>
      <c r="B19" t="s">
        <v>111</v>
      </c>
      <c r="C19">
        <v>2000</v>
      </c>
      <c r="D19" t="s">
        <v>75</v>
      </c>
      <c r="E19" t="s">
        <v>95</v>
      </c>
      <c r="F19" t="s">
        <v>82</v>
      </c>
      <c r="G19" t="s">
        <v>112</v>
      </c>
      <c r="H19" t="s">
        <v>113</v>
      </c>
      <c r="I19" t="s">
        <v>89</v>
      </c>
      <c r="J19" t="s">
        <v>64</v>
      </c>
      <c r="K19" s="1" t="s">
        <v>132</v>
      </c>
      <c r="L19" t="s">
        <v>69</v>
      </c>
      <c r="M19">
        <f t="shared" si="0"/>
        <v>1</v>
      </c>
      <c r="N19" t="s">
        <v>67</v>
      </c>
      <c r="O19">
        <f t="shared" si="1"/>
        <v>1</v>
      </c>
      <c r="P19" t="s">
        <v>67</v>
      </c>
      <c r="Q19">
        <f t="shared" si="2"/>
        <v>-1</v>
      </c>
      <c r="R19" t="s">
        <v>67</v>
      </c>
      <c r="S19">
        <f t="shared" si="3"/>
        <v>1</v>
      </c>
      <c r="T19" t="s">
        <v>69</v>
      </c>
      <c r="U19">
        <f t="shared" si="4"/>
        <v>1</v>
      </c>
      <c r="V19" t="s">
        <v>65</v>
      </c>
      <c r="W19">
        <f t="shared" si="5"/>
        <v>0.5</v>
      </c>
      <c r="X19" t="s">
        <v>68</v>
      </c>
      <c r="Y19">
        <f t="shared" si="6"/>
        <v>1</v>
      </c>
      <c r="Z19" t="s">
        <v>69</v>
      </c>
      <c r="AA19">
        <f t="shared" si="7"/>
        <v>-1</v>
      </c>
      <c r="AB19" s="2">
        <f t="shared" si="8"/>
        <v>3.5</v>
      </c>
      <c r="AC19" s="2">
        <f t="shared" si="9"/>
        <v>3.9375</v>
      </c>
      <c r="AD19" t="s">
        <v>65</v>
      </c>
      <c r="AE19">
        <f t="shared" si="10"/>
        <v>0.5</v>
      </c>
      <c r="AF19" t="s">
        <v>65</v>
      </c>
      <c r="AG19">
        <f t="shared" si="11"/>
        <v>-0.5</v>
      </c>
      <c r="AH19" t="s">
        <v>70</v>
      </c>
      <c r="AI19">
        <f t="shared" si="12"/>
        <v>-1</v>
      </c>
      <c r="AJ19" t="s">
        <v>70</v>
      </c>
      <c r="AK19">
        <f t="shared" si="13"/>
        <v>-1</v>
      </c>
      <c r="AL19" t="s">
        <v>68</v>
      </c>
      <c r="AM19">
        <f t="shared" si="14"/>
        <v>-1</v>
      </c>
      <c r="AN19" t="s">
        <v>69</v>
      </c>
      <c r="AO19">
        <f t="shared" si="15"/>
        <v>1</v>
      </c>
      <c r="AP19" t="s">
        <v>65</v>
      </c>
      <c r="AQ19">
        <f t="shared" si="16"/>
        <v>-0.5</v>
      </c>
      <c r="AR19" t="s">
        <v>69</v>
      </c>
      <c r="AS19">
        <f t="shared" si="17"/>
        <v>-1</v>
      </c>
      <c r="AT19" t="s">
        <v>69</v>
      </c>
      <c r="AU19">
        <f t="shared" si="18"/>
        <v>1</v>
      </c>
      <c r="AV19" s="2">
        <f t="shared" si="19"/>
        <v>-2.5</v>
      </c>
      <c r="AW19" s="1" t="s">
        <v>132</v>
      </c>
      <c r="AX19" t="s">
        <v>67</v>
      </c>
      <c r="AY19" t="s">
        <v>69</v>
      </c>
      <c r="AZ19" t="s">
        <v>66</v>
      </c>
      <c r="BA19" t="s">
        <v>68</v>
      </c>
      <c r="BB19" t="s">
        <v>70</v>
      </c>
      <c r="BC19" t="s">
        <v>70</v>
      </c>
      <c r="BD19" t="s">
        <v>70</v>
      </c>
      <c r="BE19" t="s">
        <v>70</v>
      </c>
      <c r="BF19" t="s">
        <v>66</v>
      </c>
      <c r="BG19" t="s">
        <v>68</v>
      </c>
      <c r="BH19" t="s">
        <v>65</v>
      </c>
      <c r="BI19" t="s">
        <v>71</v>
      </c>
      <c r="BK19" t="s">
        <v>71</v>
      </c>
      <c r="BP19" t="s">
        <v>71</v>
      </c>
      <c r="BV19" t="s">
        <v>71</v>
      </c>
      <c r="BY19" t="s">
        <v>72</v>
      </c>
      <c r="BZ19" t="s">
        <v>72</v>
      </c>
      <c r="CA19" t="s">
        <v>73</v>
      </c>
    </row>
    <row r="20" spans="1:79" x14ac:dyDescent="0.25">
      <c r="A20">
        <v>45547.902482291669</v>
      </c>
      <c r="B20" t="s">
        <v>114</v>
      </c>
      <c r="C20">
        <v>2002</v>
      </c>
      <c r="D20" t="s">
        <v>59</v>
      </c>
      <c r="E20" t="s">
        <v>95</v>
      </c>
      <c r="F20" t="s">
        <v>112</v>
      </c>
      <c r="G20" t="s">
        <v>115</v>
      </c>
      <c r="H20" t="s">
        <v>62</v>
      </c>
      <c r="I20" t="s">
        <v>63</v>
      </c>
      <c r="J20" t="s">
        <v>64</v>
      </c>
      <c r="K20" s="1" t="s">
        <v>132</v>
      </c>
      <c r="L20" t="s">
        <v>65</v>
      </c>
      <c r="M20">
        <f t="shared" si="0"/>
        <v>-0.5</v>
      </c>
      <c r="N20" t="s">
        <v>66</v>
      </c>
      <c r="O20">
        <f t="shared" si="1"/>
        <v>-0.5</v>
      </c>
      <c r="P20" t="s">
        <v>65</v>
      </c>
      <c r="Q20">
        <f t="shared" si="2"/>
        <v>-0.5</v>
      </c>
      <c r="R20" t="s">
        <v>67</v>
      </c>
      <c r="S20">
        <f t="shared" si="3"/>
        <v>1</v>
      </c>
      <c r="T20" t="s">
        <v>69</v>
      </c>
      <c r="U20">
        <f t="shared" si="4"/>
        <v>1</v>
      </c>
      <c r="V20" t="s">
        <v>67</v>
      </c>
      <c r="W20">
        <f t="shared" si="5"/>
        <v>1</v>
      </c>
      <c r="X20" t="s">
        <v>68</v>
      </c>
      <c r="Y20">
        <f t="shared" si="6"/>
        <v>1</v>
      </c>
      <c r="Z20" t="s">
        <v>69</v>
      </c>
      <c r="AA20">
        <f t="shared" si="7"/>
        <v>-1</v>
      </c>
      <c r="AB20" s="2">
        <f t="shared" si="8"/>
        <v>1.5</v>
      </c>
      <c r="AC20" s="2">
        <f t="shared" si="9"/>
        <v>1.6875</v>
      </c>
      <c r="AD20" t="s">
        <v>66</v>
      </c>
      <c r="AE20">
        <f t="shared" si="10"/>
        <v>-0.5</v>
      </c>
      <c r="AF20" t="s">
        <v>67</v>
      </c>
      <c r="AG20">
        <f t="shared" si="11"/>
        <v>-1</v>
      </c>
      <c r="AH20" t="s">
        <v>70</v>
      </c>
      <c r="AI20">
        <f t="shared" si="12"/>
        <v>-1</v>
      </c>
      <c r="AJ20" t="s">
        <v>70</v>
      </c>
      <c r="AK20">
        <f t="shared" si="13"/>
        <v>-1</v>
      </c>
      <c r="AL20" t="s">
        <v>67</v>
      </c>
      <c r="AM20">
        <f t="shared" si="14"/>
        <v>-1</v>
      </c>
      <c r="AN20" t="s">
        <v>66</v>
      </c>
      <c r="AO20">
        <f t="shared" si="15"/>
        <v>0.5</v>
      </c>
      <c r="AP20" t="s">
        <v>66</v>
      </c>
      <c r="AQ20">
        <f t="shared" si="16"/>
        <v>0.5</v>
      </c>
      <c r="AR20" t="s">
        <v>67</v>
      </c>
      <c r="AS20">
        <f t="shared" si="17"/>
        <v>1</v>
      </c>
      <c r="AT20" t="s">
        <v>69</v>
      </c>
      <c r="AU20">
        <f t="shared" si="18"/>
        <v>1</v>
      </c>
      <c r="AV20" s="2">
        <f t="shared" si="19"/>
        <v>-1.5</v>
      </c>
      <c r="AW20" s="1" t="s">
        <v>132</v>
      </c>
      <c r="AX20" t="s">
        <v>67</v>
      </c>
      <c r="AY20" t="s">
        <v>67</v>
      </c>
      <c r="AZ20" t="s">
        <v>66</v>
      </c>
      <c r="BA20" t="s">
        <v>65</v>
      </c>
      <c r="BB20" t="s">
        <v>70</v>
      </c>
      <c r="BC20" t="s">
        <v>70</v>
      </c>
      <c r="BD20" t="s">
        <v>70</v>
      </c>
      <c r="BE20" t="s">
        <v>69</v>
      </c>
      <c r="BF20" t="s">
        <v>67</v>
      </c>
      <c r="BG20" t="s">
        <v>67</v>
      </c>
      <c r="BH20" t="s">
        <v>68</v>
      </c>
      <c r="BK20" t="s">
        <v>71</v>
      </c>
      <c r="BV20" t="s">
        <v>71</v>
      </c>
      <c r="BW20" t="s">
        <v>71</v>
      </c>
      <c r="BY20" t="s">
        <v>103</v>
      </c>
      <c r="BZ20" t="s">
        <v>72</v>
      </c>
      <c r="CA20" t="s">
        <v>73</v>
      </c>
    </row>
    <row r="21" spans="1:79" x14ac:dyDescent="0.25">
      <c r="A21">
        <v>45547.903456527776</v>
      </c>
      <c r="B21" t="s">
        <v>116</v>
      </c>
      <c r="C21">
        <v>1999</v>
      </c>
      <c r="D21" t="s">
        <v>81</v>
      </c>
      <c r="E21" t="s">
        <v>60</v>
      </c>
      <c r="F21" t="s">
        <v>82</v>
      </c>
      <c r="G21" t="s">
        <v>82</v>
      </c>
      <c r="H21" t="s">
        <v>83</v>
      </c>
      <c r="I21" t="s">
        <v>89</v>
      </c>
      <c r="J21" t="s">
        <v>64</v>
      </c>
      <c r="K21" s="1" t="s">
        <v>132</v>
      </c>
      <c r="L21" t="s">
        <v>69</v>
      </c>
      <c r="M21">
        <f t="shared" si="0"/>
        <v>1</v>
      </c>
      <c r="N21" t="s">
        <v>65</v>
      </c>
      <c r="O21">
        <f t="shared" si="1"/>
        <v>0.5</v>
      </c>
      <c r="P21" t="s">
        <v>66</v>
      </c>
      <c r="Q21">
        <f t="shared" si="2"/>
        <v>0.5</v>
      </c>
      <c r="R21" t="s">
        <v>67</v>
      </c>
      <c r="S21">
        <f t="shared" si="3"/>
        <v>1</v>
      </c>
      <c r="T21" t="s">
        <v>65</v>
      </c>
      <c r="U21">
        <f t="shared" si="4"/>
        <v>-0.5</v>
      </c>
      <c r="V21" t="s">
        <v>68</v>
      </c>
      <c r="W21">
        <f t="shared" si="5"/>
        <v>1</v>
      </c>
      <c r="X21" t="s">
        <v>67</v>
      </c>
      <c r="Y21">
        <f t="shared" si="6"/>
        <v>1</v>
      </c>
      <c r="Z21" t="s">
        <v>85</v>
      </c>
      <c r="AA21">
        <f t="shared" si="7"/>
        <v>0.5</v>
      </c>
      <c r="AB21" s="2">
        <f t="shared" si="8"/>
        <v>5</v>
      </c>
      <c r="AC21" s="2">
        <f t="shared" si="9"/>
        <v>5.625</v>
      </c>
      <c r="AD21" t="s">
        <v>70</v>
      </c>
      <c r="AE21">
        <f t="shared" si="10"/>
        <v>-1</v>
      </c>
      <c r="AF21" t="s">
        <v>67</v>
      </c>
      <c r="AG21">
        <f t="shared" si="11"/>
        <v>-1</v>
      </c>
      <c r="AH21" t="s">
        <v>65</v>
      </c>
      <c r="AI21">
        <f t="shared" si="12"/>
        <v>0.5</v>
      </c>
      <c r="AJ21" t="s">
        <v>69</v>
      </c>
      <c r="AK21">
        <f t="shared" si="13"/>
        <v>-1</v>
      </c>
      <c r="AL21" t="s">
        <v>65</v>
      </c>
      <c r="AM21">
        <f t="shared" si="14"/>
        <v>-0.5</v>
      </c>
      <c r="AN21" t="s">
        <v>69</v>
      </c>
      <c r="AO21">
        <f t="shared" si="15"/>
        <v>1</v>
      </c>
      <c r="AP21" t="s">
        <v>65</v>
      </c>
      <c r="AQ21">
        <f t="shared" si="16"/>
        <v>-0.5</v>
      </c>
      <c r="AR21" t="s">
        <v>68</v>
      </c>
      <c r="AS21">
        <f t="shared" si="17"/>
        <v>1</v>
      </c>
      <c r="AT21" t="s">
        <v>70</v>
      </c>
      <c r="AU21">
        <f t="shared" si="18"/>
        <v>1</v>
      </c>
      <c r="AV21" s="2">
        <f t="shared" si="19"/>
        <v>-0.5</v>
      </c>
      <c r="AW21" s="1" t="s">
        <v>132</v>
      </c>
      <c r="AX21" t="s">
        <v>65</v>
      </c>
      <c r="AY21" t="s">
        <v>67</v>
      </c>
      <c r="AZ21" t="s">
        <v>66</v>
      </c>
      <c r="BA21" t="s">
        <v>70</v>
      </c>
      <c r="BB21" t="s">
        <v>70</v>
      </c>
      <c r="BC21" t="s">
        <v>68</v>
      </c>
      <c r="BD21" t="s">
        <v>68</v>
      </c>
      <c r="BE21" t="s">
        <v>68</v>
      </c>
      <c r="BF21" t="s">
        <v>66</v>
      </c>
      <c r="BG21" t="s">
        <v>69</v>
      </c>
      <c r="BH21" t="s">
        <v>69</v>
      </c>
      <c r="BI21" t="s">
        <v>71</v>
      </c>
      <c r="BY21" t="s">
        <v>73</v>
      </c>
      <c r="BZ21" t="s">
        <v>98</v>
      </c>
      <c r="CA21" t="s">
        <v>98</v>
      </c>
    </row>
    <row r="22" spans="1:79" x14ac:dyDescent="0.25">
      <c r="A22">
        <v>45549.732355775464</v>
      </c>
      <c r="B22" t="s">
        <v>117</v>
      </c>
      <c r="C22">
        <v>2002</v>
      </c>
      <c r="D22" t="s">
        <v>59</v>
      </c>
      <c r="E22" t="s">
        <v>60</v>
      </c>
      <c r="F22" t="s">
        <v>76</v>
      </c>
      <c r="G22" t="s">
        <v>76</v>
      </c>
      <c r="H22" t="s">
        <v>62</v>
      </c>
      <c r="I22" t="s">
        <v>63</v>
      </c>
      <c r="J22" t="s">
        <v>90</v>
      </c>
      <c r="K22" s="1" t="s">
        <v>132</v>
      </c>
      <c r="L22" t="s">
        <v>70</v>
      </c>
      <c r="M22">
        <f t="shared" si="0"/>
        <v>1</v>
      </c>
      <c r="N22" t="s">
        <v>65</v>
      </c>
      <c r="O22">
        <f t="shared" si="1"/>
        <v>0.5</v>
      </c>
      <c r="P22" t="s">
        <v>67</v>
      </c>
      <c r="Q22">
        <f t="shared" si="2"/>
        <v>-1</v>
      </c>
      <c r="R22" t="s">
        <v>67</v>
      </c>
      <c r="S22">
        <f t="shared" si="3"/>
        <v>1</v>
      </c>
      <c r="T22" t="s">
        <v>66</v>
      </c>
      <c r="U22">
        <f t="shared" si="4"/>
        <v>0.5</v>
      </c>
      <c r="V22" t="s">
        <v>67</v>
      </c>
      <c r="W22">
        <f t="shared" si="5"/>
        <v>1</v>
      </c>
      <c r="X22" t="s">
        <v>68</v>
      </c>
      <c r="Y22">
        <f t="shared" si="6"/>
        <v>1</v>
      </c>
      <c r="Z22" t="s">
        <v>68</v>
      </c>
      <c r="AA22">
        <f t="shared" si="7"/>
        <v>1</v>
      </c>
      <c r="AB22" s="2">
        <f t="shared" si="8"/>
        <v>5</v>
      </c>
      <c r="AC22" s="2">
        <f t="shared" si="9"/>
        <v>5.625</v>
      </c>
      <c r="AD22" t="s">
        <v>66</v>
      </c>
      <c r="AE22">
        <f t="shared" si="10"/>
        <v>-0.5</v>
      </c>
      <c r="AF22" t="s">
        <v>66</v>
      </c>
      <c r="AG22">
        <f t="shared" si="11"/>
        <v>0.5</v>
      </c>
      <c r="AH22" t="s">
        <v>66</v>
      </c>
      <c r="AI22">
        <f t="shared" si="12"/>
        <v>-0.5</v>
      </c>
      <c r="AJ22" t="s">
        <v>65</v>
      </c>
      <c r="AK22">
        <f t="shared" si="13"/>
        <v>0.5</v>
      </c>
      <c r="AL22" t="s">
        <v>67</v>
      </c>
      <c r="AM22">
        <f t="shared" si="14"/>
        <v>-1</v>
      </c>
      <c r="AN22" t="s">
        <v>69</v>
      </c>
      <c r="AO22">
        <f t="shared" si="15"/>
        <v>1</v>
      </c>
      <c r="AP22" t="s">
        <v>68</v>
      </c>
      <c r="AQ22">
        <f t="shared" si="16"/>
        <v>-1</v>
      </c>
      <c r="AR22" t="s">
        <v>68</v>
      </c>
      <c r="AS22">
        <f t="shared" si="17"/>
        <v>1</v>
      </c>
      <c r="AT22" t="s">
        <v>70</v>
      </c>
      <c r="AU22">
        <f t="shared" si="18"/>
        <v>1</v>
      </c>
      <c r="AV22" s="2">
        <f t="shared" si="19"/>
        <v>1</v>
      </c>
      <c r="AW22" s="1" t="s">
        <v>132</v>
      </c>
      <c r="AX22" t="s">
        <v>65</v>
      </c>
      <c r="AY22" t="s">
        <v>67</v>
      </c>
      <c r="AZ22" t="s">
        <v>67</v>
      </c>
      <c r="BA22" t="s">
        <v>69</v>
      </c>
      <c r="BB22" t="s">
        <v>67</v>
      </c>
      <c r="BC22" t="s">
        <v>70</v>
      </c>
      <c r="BD22" t="s">
        <v>70</v>
      </c>
      <c r="BE22" t="s">
        <v>69</v>
      </c>
      <c r="BF22" t="s">
        <v>67</v>
      </c>
      <c r="BG22" t="s">
        <v>65</v>
      </c>
      <c r="BH22" t="s">
        <v>68</v>
      </c>
      <c r="BI22" t="s">
        <v>71</v>
      </c>
      <c r="BP22" t="s">
        <v>71</v>
      </c>
      <c r="BY22" t="s">
        <v>72</v>
      </c>
      <c r="BZ22" t="s">
        <v>72</v>
      </c>
      <c r="CA22" t="s">
        <v>73</v>
      </c>
    </row>
    <row r="23" spans="1:79" x14ac:dyDescent="0.25">
      <c r="A23">
        <v>45551.790654189812</v>
      </c>
      <c r="B23" t="s">
        <v>118</v>
      </c>
      <c r="C23">
        <v>2002</v>
      </c>
      <c r="D23" t="s">
        <v>59</v>
      </c>
      <c r="E23" t="s">
        <v>60</v>
      </c>
      <c r="F23" t="s">
        <v>96</v>
      </c>
      <c r="G23" t="s">
        <v>96</v>
      </c>
      <c r="H23" t="s">
        <v>83</v>
      </c>
      <c r="I23" t="s">
        <v>63</v>
      </c>
      <c r="J23" t="s">
        <v>90</v>
      </c>
      <c r="K23" s="1" t="s">
        <v>132</v>
      </c>
      <c r="L23" t="s">
        <v>69</v>
      </c>
      <c r="M23">
        <f t="shared" si="0"/>
        <v>1</v>
      </c>
      <c r="N23" t="s">
        <v>66</v>
      </c>
      <c r="O23">
        <f t="shared" si="1"/>
        <v>-0.5</v>
      </c>
      <c r="P23" t="s">
        <v>68</v>
      </c>
      <c r="Q23">
        <f t="shared" si="2"/>
        <v>-1</v>
      </c>
      <c r="R23" t="s">
        <v>67</v>
      </c>
      <c r="S23">
        <f t="shared" si="3"/>
        <v>1</v>
      </c>
      <c r="T23" t="s">
        <v>65</v>
      </c>
      <c r="U23">
        <f t="shared" si="4"/>
        <v>-0.5</v>
      </c>
      <c r="V23" t="s">
        <v>65</v>
      </c>
      <c r="W23">
        <f t="shared" si="5"/>
        <v>0.5</v>
      </c>
      <c r="X23" t="s">
        <v>66</v>
      </c>
      <c r="Y23">
        <f t="shared" si="6"/>
        <v>-0.5</v>
      </c>
      <c r="Z23" t="s">
        <v>70</v>
      </c>
      <c r="AA23">
        <f t="shared" si="7"/>
        <v>-1</v>
      </c>
      <c r="AB23" s="2">
        <f t="shared" si="8"/>
        <v>-1</v>
      </c>
      <c r="AC23" s="2">
        <f t="shared" si="9"/>
        <v>-1.125</v>
      </c>
      <c r="AD23" t="s">
        <v>65</v>
      </c>
      <c r="AE23">
        <f t="shared" si="10"/>
        <v>0.5</v>
      </c>
      <c r="AF23" t="s">
        <v>67</v>
      </c>
      <c r="AG23">
        <f t="shared" si="11"/>
        <v>-1</v>
      </c>
      <c r="AH23" t="s">
        <v>67</v>
      </c>
      <c r="AI23">
        <f t="shared" si="12"/>
        <v>1</v>
      </c>
      <c r="AJ23" t="s">
        <v>68</v>
      </c>
      <c r="AK23">
        <f t="shared" si="13"/>
        <v>1</v>
      </c>
      <c r="AL23" t="s">
        <v>67</v>
      </c>
      <c r="AM23">
        <f t="shared" si="14"/>
        <v>-1</v>
      </c>
      <c r="AN23" t="s">
        <v>67</v>
      </c>
      <c r="AO23">
        <f t="shared" si="15"/>
        <v>-1</v>
      </c>
      <c r="AP23" t="s">
        <v>68</v>
      </c>
      <c r="AQ23">
        <f t="shared" si="16"/>
        <v>-1</v>
      </c>
      <c r="AR23" t="s">
        <v>67</v>
      </c>
      <c r="AS23">
        <f t="shared" si="17"/>
        <v>1</v>
      </c>
      <c r="AT23" t="s">
        <v>69</v>
      </c>
      <c r="AU23">
        <f t="shared" si="18"/>
        <v>1</v>
      </c>
      <c r="AV23" s="2">
        <f t="shared" si="19"/>
        <v>0.5</v>
      </c>
      <c r="AW23" s="1" t="s">
        <v>132</v>
      </c>
      <c r="AX23" t="s">
        <v>67</v>
      </c>
      <c r="AY23" t="s">
        <v>67</v>
      </c>
      <c r="AZ23" t="s">
        <v>65</v>
      </c>
      <c r="BA23" t="s">
        <v>65</v>
      </c>
      <c r="BB23" t="s">
        <v>69</v>
      </c>
      <c r="BC23" t="s">
        <v>65</v>
      </c>
      <c r="BD23" t="s">
        <v>65</v>
      </c>
      <c r="BE23" t="s">
        <v>65</v>
      </c>
      <c r="BF23" t="s">
        <v>69</v>
      </c>
      <c r="BG23" t="s">
        <v>67</v>
      </c>
      <c r="BH23" t="s">
        <v>67</v>
      </c>
      <c r="BM23" t="s">
        <v>71</v>
      </c>
      <c r="BY23" t="s">
        <v>73</v>
      </c>
      <c r="BZ23" t="s">
        <v>72</v>
      </c>
      <c r="CA23" t="s">
        <v>73</v>
      </c>
    </row>
    <row r="24" spans="1:79" x14ac:dyDescent="0.25">
      <c r="A24">
        <v>45553.853533576388</v>
      </c>
      <c r="B24" t="s">
        <v>119</v>
      </c>
      <c r="C24">
        <v>1997</v>
      </c>
      <c r="D24" t="s">
        <v>75</v>
      </c>
      <c r="E24" t="s">
        <v>60</v>
      </c>
      <c r="F24" t="s">
        <v>76</v>
      </c>
      <c r="G24" t="s">
        <v>76</v>
      </c>
      <c r="H24" t="s">
        <v>113</v>
      </c>
      <c r="I24" t="s">
        <v>89</v>
      </c>
      <c r="J24" t="s">
        <v>90</v>
      </c>
      <c r="K24" s="1" t="s">
        <v>132</v>
      </c>
      <c r="L24" t="s">
        <v>65</v>
      </c>
      <c r="M24">
        <f t="shared" si="0"/>
        <v>-0.5</v>
      </c>
      <c r="N24" t="s">
        <v>66</v>
      </c>
      <c r="O24">
        <f t="shared" si="1"/>
        <v>-0.5</v>
      </c>
      <c r="P24" t="s">
        <v>67</v>
      </c>
      <c r="Q24">
        <f t="shared" si="2"/>
        <v>-1</v>
      </c>
      <c r="R24" t="s">
        <v>67</v>
      </c>
      <c r="S24">
        <f t="shared" si="3"/>
        <v>1</v>
      </c>
      <c r="T24" t="s">
        <v>65</v>
      </c>
      <c r="U24">
        <f t="shared" si="4"/>
        <v>-0.5</v>
      </c>
      <c r="V24" t="s">
        <v>66</v>
      </c>
      <c r="W24">
        <f t="shared" si="5"/>
        <v>-0.5</v>
      </c>
      <c r="X24" t="s">
        <v>66</v>
      </c>
      <c r="Y24">
        <f t="shared" si="6"/>
        <v>-0.5</v>
      </c>
      <c r="Z24" t="s">
        <v>66</v>
      </c>
      <c r="AA24">
        <f t="shared" si="7"/>
        <v>-0.5</v>
      </c>
      <c r="AB24" s="2">
        <f t="shared" si="8"/>
        <v>-3</v>
      </c>
      <c r="AC24" s="2">
        <f t="shared" si="9"/>
        <v>-3.375</v>
      </c>
      <c r="AD24" t="s">
        <v>67</v>
      </c>
      <c r="AE24">
        <f t="shared" si="10"/>
        <v>1</v>
      </c>
      <c r="AF24" t="s">
        <v>66</v>
      </c>
      <c r="AG24">
        <f t="shared" si="11"/>
        <v>0.5</v>
      </c>
      <c r="AH24" t="s">
        <v>70</v>
      </c>
      <c r="AI24">
        <f t="shared" si="12"/>
        <v>-1</v>
      </c>
      <c r="AJ24" t="s">
        <v>70</v>
      </c>
      <c r="AK24">
        <f t="shared" si="13"/>
        <v>-1</v>
      </c>
      <c r="AL24" t="s">
        <v>69</v>
      </c>
      <c r="AM24">
        <f t="shared" si="14"/>
        <v>1</v>
      </c>
      <c r="AN24" t="s">
        <v>65</v>
      </c>
      <c r="AO24">
        <f t="shared" si="15"/>
        <v>-0.5</v>
      </c>
      <c r="AP24" t="s">
        <v>66</v>
      </c>
      <c r="AQ24">
        <f t="shared" si="16"/>
        <v>0.5</v>
      </c>
      <c r="AR24" t="s">
        <v>66</v>
      </c>
      <c r="AS24">
        <f t="shared" si="17"/>
        <v>-0.5</v>
      </c>
      <c r="AT24" t="s">
        <v>70</v>
      </c>
      <c r="AU24">
        <f t="shared" si="18"/>
        <v>1</v>
      </c>
      <c r="AV24" s="2">
        <f t="shared" si="19"/>
        <v>1</v>
      </c>
      <c r="AW24" s="1" t="s">
        <v>132</v>
      </c>
      <c r="AX24" t="s">
        <v>70</v>
      </c>
      <c r="AY24" t="s">
        <v>65</v>
      </c>
      <c r="AZ24" t="s">
        <v>65</v>
      </c>
      <c r="BA24" t="s">
        <v>65</v>
      </c>
      <c r="BB24" t="s">
        <v>68</v>
      </c>
      <c r="BC24" t="s">
        <v>70</v>
      </c>
      <c r="BD24" t="s">
        <v>69</v>
      </c>
      <c r="BE24" t="s">
        <v>66</v>
      </c>
      <c r="BF24" t="s">
        <v>70</v>
      </c>
      <c r="BG24" t="s">
        <v>65</v>
      </c>
      <c r="BH24" t="s">
        <v>68</v>
      </c>
      <c r="BN24" t="s">
        <v>71</v>
      </c>
      <c r="BQ24" t="s">
        <v>71</v>
      </c>
      <c r="BY24" t="s">
        <v>79</v>
      </c>
      <c r="BZ24" t="s">
        <v>79</v>
      </c>
      <c r="CA24" t="s">
        <v>79</v>
      </c>
    </row>
    <row r="25" spans="1:79" x14ac:dyDescent="0.25">
      <c r="A25">
        <v>45553.862978541671</v>
      </c>
      <c r="B25" t="s">
        <v>120</v>
      </c>
      <c r="C25">
        <v>2001</v>
      </c>
      <c r="D25" t="s">
        <v>59</v>
      </c>
      <c r="E25" t="s">
        <v>95</v>
      </c>
      <c r="F25" t="s">
        <v>96</v>
      </c>
      <c r="G25" t="s">
        <v>96</v>
      </c>
      <c r="H25" t="s">
        <v>62</v>
      </c>
      <c r="I25" t="s">
        <v>63</v>
      </c>
      <c r="J25" t="s">
        <v>77</v>
      </c>
      <c r="K25" s="1" t="s">
        <v>132</v>
      </c>
      <c r="L25" t="s">
        <v>68</v>
      </c>
      <c r="M25">
        <f t="shared" si="0"/>
        <v>-1</v>
      </c>
      <c r="N25" t="s">
        <v>69</v>
      </c>
      <c r="O25">
        <f t="shared" si="1"/>
        <v>-1</v>
      </c>
      <c r="P25" t="s">
        <v>70</v>
      </c>
      <c r="Q25">
        <f t="shared" si="2"/>
        <v>1</v>
      </c>
      <c r="R25" t="s">
        <v>67</v>
      </c>
      <c r="S25">
        <f t="shared" si="3"/>
        <v>1</v>
      </c>
      <c r="T25" t="s">
        <v>65</v>
      </c>
      <c r="U25">
        <f t="shared" si="4"/>
        <v>-0.5</v>
      </c>
      <c r="V25" t="s">
        <v>65</v>
      </c>
      <c r="W25">
        <f t="shared" si="5"/>
        <v>0.5</v>
      </c>
      <c r="X25" t="s">
        <v>68</v>
      </c>
      <c r="Y25">
        <f t="shared" si="6"/>
        <v>1</v>
      </c>
      <c r="Z25" t="s">
        <v>69</v>
      </c>
      <c r="AA25">
        <f t="shared" si="7"/>
        <v>-1</v>
      </c>
      <c r="AB25" s="2">
        <f t="shared" si="8"/>
        <v>0</v>
      </c>
      <c r="AC25" s="2">
        <f t="shared" si="9"/>
        <v>0</v>
      </c>
      <c r="AD25" t="s">
        <v>70</v>
      </c>
      <c r="AE25">
        <f t="shared" si="10"/>
        <v>-1</v>
      </c>
      <c r="AF25" t="s">
        <v>68</v>
      </c>
      <c r="AG25">
        <f t="shared" si="11"/>
        <v>-1</v>
      </c>
      <c r="AH25" t="s">
        <v>65</v>
      </c>
      <c r="AI25">
        <f t="shared" si="12"/>
        <v>0.5</v>
      </c>
      <c r="AJ25" t="s">
        <v>70</v>
      </c>
      <c r="AK25">
        <f t="shared" si="13"/>
        <v>-1</v>
      </c>
      <c r="AL25" t="s">
        <v>67</v>
      </c>
      <c r="AM25">
        <f t="shared" si="14"/>
        <v>-1</v>
      </c>
      <c r="AN25" t="s">
        <v>70</v>
      </c>
      <c r="AO25">
        <f t="shared" si="15"/>
        <v>1</v>
      </c>
      <c r="AP25" t="s">
        <v>65</v>
      </c>
      <c r="AQ25">
        <f t="shared" si="16"/>
        <v>-0.5</v>
      </c>
      <c r="AR25" t="s">
        <v>68</v>
      </c>
      <c r="AS25">
        <f t="shared" si="17"/>
        <v>1</v>
      </c>
      <c r="AT25" t="s">
        <v>70</v>
      </c>
      <c r="AU25">
        <f t="shared" si="18"/>
        <v>1</v>
      </c>
      <c r="AV25" s="2">
        <f t="shared" si="19"/>
        <v>-1</v>
      </c>
      <c r="AW25" s="1" t="s">
        <v>132</v>
      </c>
      <c r="AX25" t="s">
        <v>65</v>
      </c>
      <c r="AY25" t="s">
        <v>65</v>
      </c>
      <c r="AZ25" t="s">
        <v>66</v>
      </c>
      <c r="BA25" t="s">
        <v>65</v>
      </c>
      <c r="BB25" t="s">
        <v>69</v>
      </c>
      <c r="BC25" t="s">
        <v>70</v>
      </c>
      <c r="BD25" t="s">
        <v>70</v>
      </c>
      <c r="BE25" t="s">
        <v>70</v>
      </c>
      <c r="BF25" t="s">
        <v>68</v>
      </c>
      <c r="BG25" t="s">
        <v>67</v>
      </c>
      <c r="BH25" t="s">
        <v>66</v>
      </c>
      <c r="BI25" t="s">
        <v>71</v>
      </c>
      <c r="BS25" t="s">
        <v>71</v>
      </c>
      <c r="BY25" t="s">
        <v>73</v>
      </c>
      <c r="BZ25" t="s">
        <v>73</v>
      </c>
      <c r="CA25" t="s">
        <v>73</v>
      </c>
    </row>
    <row r="26" spans="1:79" x14ac:dyDescent="0.25">
      <c r="A26">
        <v>45553.880205821755</v>
      </c>
      <c r="B26" t="s">
        <v>121</v>
      </c>
      <c r="C26">
        <v>2000</v>
      </c>
      <c r="D26" t="s">
        <v>75</v>
      </c>
      <c r="E26" t="s">
        <v>60</v>
      </c>
      <c r="F26" t="s">
        <v>112</v>
      </c>
      <c r="G26" t="s">
        <v>82</v>
      </c>
      <c r="H26" t="s">
        <v>113</v>
      </c>
      <c r="I26" t="s">
        <v>122</v>
      </c>
      <c r="J26" t="s">
        <v>64</v>
      </c>
      <c r="K26" s="1" t="s">
        <v>132</v>
      </c>
      <c r="L26" t="s">
        <v>67</v>
      </c>
      <c r="M26">
        <f t="shared" si="0"/>
        <v>-1</v>
      </c>
      <c r="N26" t="s">
        <v>66</v>
      </c>
      <c r="O26">
        <f t="shared" si="1"/>
        <v>-0.5</v>
      </c>
      <c r="P26" t="s">
        <v>67</v>
      </c>
      <c r="Q26">
        <f t="shared" si="2"/>
        <v>-1</v>
      </c>
      <c r="R26" t="s">
        <v>65</v>
      </c>
      <c r="S26">
        <f t="shared" si="3"/>
        <v>0.5</v>
      </c>
      <c r="T26" t="s">
        <v>67</v>
      </c>
      <c r="U26">
        <f t="shared" si="4"/>
        <v>-1</v>
      </c>
      <c r="V26" t="s">
        <v>67</v>
      </c>
      <c r="W26">
        <f t="shared" si="5"/>
        <v>1</v>
      </c>
      <c r="X26" t="s">
        <v>66</v>
      </c>
      <c r="Y26">
        <f t="shared" si="6"/>
        <v>-0.5</v>
      </c>
      <c r="Z26" t="s">
        <v>69</v>
      </c>
      <c r="AA26">
        <f t="shared" si="7"/>
        <v>-1</v>
      </c>
      <c r="AB26" s="2">
        <f t="shared" si="8"/>
        <v>-3.5</v>
      </c>
      <c r="AC26" s="2">
        <f t="shared" si="9"/>
        <v>-3.9375</v>
      </c>
      <c r="AD26" t="s">
        <v>66</v>
      </c>
      <c r="AE26">
        <f t="shared" si="10"/>
        <v>-0.5</v>
      </c>
      <c r="AF26" t="s">
        <v>67</v>
      </c>
      <c r="AG26">
        <f t="shared" si="11"/>
        <v>-1</v>
      </c>
      <c r="AH26" t="s">
        <v>69</v>
      </c>
      <c r="AI26">
        <f t="shared" si="12"/>
        <v>-1</v>
      </c>
      <c r="AJ26" t="s">
        <v>69</v>
      </c>
      <c r="AK26">
        <f t="shared" si="13"/>
        <v>-1</v>
      </c>
      <c r="AL26" t="s">
        <v>68</v>
      </c>
      <c r="AM26">
        <f t="shared" si="14"/>
        <v>-1</v>
      </c>
      <c r="AN26" t="s">
        <v>69</v>
      </c>
      <c r="AO26">
        <f t="shared" si="15"/>
        <v>1</v>
      </c>
      <c r="AP26" t="s">
        <v>67</v>
      </c>
      <c r="AQ26">
        <f t="shared" si="16"/>
        <v>-1</v>
      </c>
      <c r="AR26" t="s">
        <v>67</v>
      </c>
      <c r="AS26">
        <f t="shared" si="17"/>
        <v>1</v>
      </c>
      <c r="AT26" t="s">
        <v>69</v>
      </c>
      <c r="AU26">
        <f t="shared" si="18"/>
        <v>1</v>
      </c>
      <c r="AV26" s="2">
        <f t="shared" si="19"/>
        <v>-2.5</v>
      </c>
      <c r="AW26" s="1" t="s">
        <v>132</v>
      </c>
      <c r="AX26" t="s">
        <v>67</v>
      </c>
      <c r="AY26" t="s">
        <v>67</v>
      </c>
      <c r="AZ26" t="s">
        <v>69</v>
      </c>
      <c r="BA26" t="s">
        <v>66</v>
      </c>
      <c r="BB26" t="s">
        <v>66</v>
      </c>
      <c r="BC26" t="s">
        <v>66</v>
      </c>
      <c r="BD26" t="s">
        <v>66</v>
      </c>
      <c r="BE26" t="s">
        <v>66</v>
      </c>
      <c r="BF26" t="s">
        <v>67</v>
      </c>
      <c r="BG26" t="s">
        <v>67</v>
      </c>
      <c r="BH26" t="s">
        <v>67</v>
      </c>
      <c r="BI26" t="s">
        <v>71</v>
      </c>
      <c r="BJ26" t="s">
        <v>71</v>
      </c>
      <c r="BK26" t="s">
        <v>71</v>
      </c>
      <c r="BL26" t="s">
        <v>71</v>
      </c>
      <c r="BM26" t="s">
        <v>71</v>
      </c>
      <c r="BN26" t="s">
        <v>71</v>
      </c>
      <c r="BO26" t="s">
        <v>71</v>
      </c>
      <c r="BP26" t="s">
        <v>71</v>
      </c>
      <c r="BQ26" t="s">
        <v>71</v>
      </c>
      <c r="BR26" t="s">
        <v>71</v>
      </c>
      <c r="BS26" t="s">
        <v>71</v>
      </c>
      <c r="BT26" t="s">
        <v>71</v>
      </c>
      <c r="BU26" t="s">
        <v>71</v>
      </c>
      <c r="BV26" t="s">
        <v>71</v>
      </c>
      <c r="BW26" t="s">
        <v>71</v>
      </c>
      <c r="BX26" t="s">
        <v>71</v>
      </c>
      <c r="BY26" t="s">
        <v>123</v>
      </c>
      <c r="BZ26" t="s">
        <v>98</v>
      </c>
      <c r="CA26" t="s">
        <v>98</v>
      </c>
    </row>
    <row r="27" spans="1:79" x14ac:dyDescent="0.25">
      <c r="A27">
        <v>45554.362967569439</v>
      </c>
      <c r="B27" t="s">
        <v>124</v>
      </c>
      <c r="C27">
        <v>2001</v>
      </c>
      <c r="D27" t="s">
        <v>59</v>
      </c>
      <c r="E27" t="s">
        <v>95</v>
      </c>
      <c r="F27" t="s">
        <v>76</v>
      </c>
      <c r="G27" t="s">
        <v>76</v>
      </c>
      <c r="H27" t="s">
        <v>62</v>
      </c>
      <c r="I27" t="s">
        <v>63</v>
      </c>
      <c r="J27" t="s">
        <v>90</v>
      </c>
      <c r="K27" s="1" t="s">
        <v>132</v>
      </c>
      <c r="L27" t="s">
        <v>66</v>
      </c>
      <c r="M27">
        <f t="shared" si="0"/>
        <v>0.5</v>
      </c>
      <c r="N27" t="s">
        <v>65</v>
      </c>
      <c r="O27">
        <f t="shared" si="1"/>
        <v>0.5</v>
      </c>
      <c r="P27" t="s">
        <v>67</v>
      </c>
      <c r="Q27">
        <f t="shared" si="2"/>
        <v>-1</v>
      </c>
      <c r="R27" t="s">
        <v>65</v>
      </c>
      <c r="S27">
        <f t="shared" si="3"/>
        <v>0.5</v>
      </c>
      <c r="T27" t="s">
        <v>66</v>
      </c>
      <c r="U27">
        <f t="shared" si="4"/>
        <v>0.5</v>
      </c>
      <c r="V27" t="s">
        <v>66</v>
      </c>
      <c r="W27">
        <f t="shared" si="5"/>
        <v>-0.5</v>
      </c>
      <c r="X27" t="s">
        <v>67</v>
      </c>
      <c r="Y27">
        <f t="shared" si="6"/>
        <v>1</v>
      </c>
      <c r="Z27" t="s">
        <v>69</v>
      </c>
      <c r="AA27">
        <f t="shared" si="7"/>
        <v>-1</v>
      </c>
      <c r="AB27" s="2">
        <f t="shared" si="8"/>
        <v>0.5</v>
      </c>
      <c r="AC27" s="2">
        <f t="shared" si="9"/>
        <v>0.5625</v>
      </c>
      <c r="AD27" t="s">
        <v>66</v>
      </c>
      <c r="AE27">
        <f t="shared" si="10"/>
        <v>-0.5</v>
      </c>
      <c r="AF27" t="s">
        <v>67</v>
      </c>
      <c r="AG27">
        <f t="shared" si="11"/>
        <v>-1</v>
      </c>
      <c r="AH27" t="s">
        <v>69</v>
      </c>
      <c r="AI27">
        <f t="shared" si="12"/>
        <v>-1</v>
      </c>
      <c r="AJ27" t="s">
        <v>70</v>
      </c>
      <c r="AK27">
        <f t="shared" si="13"/>
        <v>-1</v>
      </c>
      <c r="AL27" t="s">
        <v>65</v>
      </c>
      <c r="AM27">
        <f t="shared" si="14"/>
        <v>-0.5</v>
      </c>
      <c r="AN27" t="s">
        <v>69</v>
      </c>
      <c r="AO27">
        <f t="shared" si="15"/>
        <v>1</v>
      </c>
      <c r="AP27" t="s">
        <v>65</v>
      </c>
      <c r="AQ27">
        <f t="shared" si="16"/>
        <v>-0.5</v>
      </c>
      <c r="AR27" t="s">
        <v>67</v>
      </c>
      <c r="AS27">
        <f t="shared" si="17"/>
        <v>1</v>
      </c>
      <c r="AT27" t="s">
        <v>70</v>
      </c>
      <c r="AU27">
        <f t="shared" si="18"/>
        <v>1</v>
      </c>
      <c r="AV27" s="2">
        <f t="shared" si="19"/>
        <v>-1.5</v>
      </c>
      <c r="AW27" s="1" t="s">
        <v>132</v>
      </c>
      <c r="AX27" t="s">
        <v>67</v>
      </c>
      <c r="AY27" t="s">
        <v>65</v>
      </c>
      <c r="AZ27" t="s">
        <v>70</v>
      </c>
      <c r="BA27" t="s">
        <v>69</v>
      </c>
      <c r="BB27" t="s">
        <v>70</v>
      </c>
      <c r="BC27" t="s">
        <v>65</v>
      </c>
      <c r="BD27" t="s">
        <v>66</v>
      </c>
      <c r="BE27" t="s">
        <v>67</v>
      </c>
      <c r="BF27" t="s">
        <v>68</v>
      </c>
      <c r="BG27" t="s">
        <v>66</v>
      </c>
      <c r="BH27" t="s">
        <v>66</v>
      </c>
      <c r="BI27" t="s">
        <v>71</v>
      </c>
      <c r="BM27" t="s">
        <v>71</v>
      </c>
      <c r="BN27" t="s">
        <v>71</v>
      </c>
      <c r="BP27" t="s">
        <v>71</v>
      </c>
      <c r="BS27" t="s">
        <v>71</v>
      </c>
      <c r="BY27" t="s">
        <v>72</v>
      </c>
      <c r="BZ27" t="s">
        <v>73</v>
      </c>
      <c r="CA27" t="s">
        <v>73</v>
      </c>
    </row>
    <row r="28" spans="1:79" x14ac:dyDescent="0.25">
      <c r="A28">
        <v>45554.667973495365</v>
      </c>
      <c r="B28" t="s">
        <v>125</v>
      </c>
      <c r="C28">
        <v>2002</v>
      </c>
      <c r="D28" t="s">
        <v>59</v>
      </c>
      <c r="E28" t="s">
        <v>95</v>
      </c>
      <c r="F28" t="s">
        <v>61</v>
      </c>
      <c r="G28" t="s">
        <v>61</v>
      </c>
      <c r="H28" t="s">
        <v>83</v>
      </c>
      <c r="I28" t="s">
        <v>63</v>
      </c>
      <c r="J28" t="s">
        <v>64</v>
      </c>
      <c r="K28" s="1" t="s">
        <v>132</v>
      </c>
      <c r="L28" t="s">
        <v>69</v>
      </c>
      <c r="M28">
        <f t="shared" si="0"/>
        <v>1</v>
      </c>
      <c r="N28" t="s">
        <v>68</v>
      </c>
      <c r="O28">
        <f t="shared" si="1"/>
        <v>1</v>
      </c>
      <c r="P28" t="s">
        <v>70</v>
      </c>
      <c r="Q28">
        <f t="shared" si="2"/>
        <v>1</v>
      </c>
      <c r="R28" t="s">
        <v>67</v>
      </c>
      <c r="S28">
        <f t="shared" si="3"/>
        <v>1</v>
      </c>
      <c r="T28" t="s">
        <v>69</v>
      </c>
      <c r="U28">
        <f t="shared" si="4"/>
        <v>1</v>
      </c>
      <c r="V28" t="s">
        <v>69</v>
      </c>
      <c r="W28">
        <f t="shared" si="5"/>
        <v>-1</v>
      </c>
      <c r="X28" t="s">
        <v>67</v>
      </c>
      <c r="Y28">
        <f t="shared" si="6"/>
        <v>1</v>
      </c>
      <c r="Z28" t="s">
        <v>69</v>
      </c>
      <c r="AA28">
        <f t="shared" si="7"/>
        <v>-1</v>
      </c>
      <c r="AB28" s="2">
        <f t="shared" si="8"/>
        <v>4</v>
      </c>
      <c r="AC28" s="2">
        <f t="shared" si="9"/>
        <v>4.5</v>
      </c>
      <c r="AD28" t="s">
        <v>69</v>
      </c>
      <c r="AE28">
        <f t="shared" si="10"/>
        <v>-1</v>
      </c>
      <c r="AF28" t="s">
        <v>68</v>
      </c>
      <c r="AG28">
        <f t="shared" si="11"/>
        <v>-1</v>
      </c>
      <c r="AH28" t="s">
        <v>65</v>
      </c>
      <c r="AI28">
        <f t="shared" si="12"/>
        <v>0.5</v>
      </c>
      <c r="AJ28" t="s">
        <v>65</v>
      </c>
      <c r="AK28">
        <f t="shared" si="13"/>
        <v>0.5</v>
      </c>
      <c r="AL28" t="s">
        <v>68</v>
      </c>
      <c r="AM28">
        <f t="shared" si="14"/>
        <v>-1</v>
      </c>
      <c r="AN28" t="s">
        <v>70</v>
      </c>
      <c r="AO28">
        <f t="shared" si="15"/>
        <v>1</v>
      </c>
      <c r="AP28" t="s">
        <v>69</v>
      </c>
      <c r="AQ28">
        <f t="shared" si="16"/>
        <v>1</v>
      </c>
      <c r="AR28" t="s">
        <v>68</v>
      </c>
      <c r="AS28">
        <f t="shared" si="17"/>
        <v>1</v>
      </c>
      <c r="AT28" t="s">
        <v>67</v>
      </c>
      <c r="AU28">
        <f t="shared" si="18"/>
        <v>-1</v>
      </c>
      <c r="AV28" s="2">
        <f t="shared" si="19"/>
        <v>0</v>
      </c>
      <c r="AW28" s="1" t="s">
        <v>132</v>
      </c>
      <c r="AX28" t="s">
        <v>67</v>
      </c>
      <c r="AY28" t="s">
        <v>65</v>
      </c>
      <c r="AZ28" t="s">
        <v>66</v>
      </c>
      <c r="BA28" t="s">
        <v>66</v>
      </c>
      <c r="BB28" t="s">
        <v>65</v>
      </c>
      <c r="BC28" t="s">
        <v>66</v>
      </c>
      <c r="BD28" t="s">
        <v>66</v>
      </c>
      <c r="BE28" t="s">
        <v>69</v>
      </c>
      <c r="BF28" t="s">
        <v>69</v>
      </c>
      <c r="BG28" t="s">
        <v>67</v>
      </c>
      <c r="BH28" t="s">
        <v>66</v>
      </c>
      <c r="BI28" t="s">
        <v>71</v>
      </c>
      <c r="BN28" t="s">
        <v>71</v>
      </c>
      <c r="BS28" t="s">
        <v>71</v>
      </c>
      <c r="BY28" t="s">
        <v>72</v>
      </c>
      <c r="BZ28" t="s">
        <v>73</v>
      </c>
      <c r="CA28" t="s">
        <v>73</v>
      </c>
    </row>
    <row r="29" spans="1:79" x14ac:dyDescent="0.25">
      <c r="A29">
        <v>45554.826449247688</v>
      </c>
      <c r="B29" t="s">
        <v>126</v>
      </c>
      <c r="C29">
        <v>2002</v>
      </c>
      <c r="D29" t="s">
        <v>81</v>
      </c>
      <c r="E29" t="s">
        <v>60</v>
      </c>
      <c r="F29" t="s">
        <v>82</v>
      </c>
      <c r="G29" t="s">
        <v>82</v>
      </c>
      <c r="H29" t="s">
        <v>113</v>
      </c>
      <c r="I29" t="s">
        <v>89</v>
      </c>
      <c r="J29" t="s">
        <v>90</v>
      </c>
      <c r="K29" s="1" t="s">
        <v>132</v>
      </c>
      <c r="L29" t="s">
        <v>66</v>
      </c>
      <c r="M29">
        <f t="shared" si="0"/>
        <v>0.5</v>
      </c>
      <c r="N29" t="s">
        <v>66</v>
      </c>
      <c r="O29">
        <f t="shared" si="1"/>
        <v>-0.5</v>
      </c>
      <c r="P29" t="s">
        <v>68</v>
      </c>
      <c r="Q29">
        <f t="shared" si="2"/>
        <v>-1</v>
      </c>
      <c r="R29" t="s">
        <v>67</v>
      </c>
      <c r="S29">
        <f t="shared" si="3"/>
        <v>1</v>
      </c>
      <c r="T29" t="s">
        <v>66</v>
      </c>
      <c r="U29">
        <f t="shared" si="4"/>
        <v>0.5</v>
      </c>
      <c r="V29" t="s">
        <v>66</v>
      </c>
      <c r="W29">
        <f t="shared" si="5"/>
        <v>-0.5</v>
      </c>
      <c r="X29" t="s">
        <v>65</v>
      </c>
      <c r="Y29">
        <f t="shared" si="6"/>
        <v>0.5</v>
      </c>
      <c r="Z29" t="s">
        <v>69</v>
      </c>
      <c r="AA29">
        <f t="shared" si="7"/>
        <v>-1</v>
      </c>
      <c r="AB29" s="2">
        <f t="shared" si="8"/>
        <v>-0.5</v>
      </c>
      <c r="AC29" s="2">
        <f t="shared" si="9"/>
        <v>-0.5625</v>
      </c>
      <c r="AD29" t="s">
        <v>65</v>
      </c>
      <c r="AE29">
        <f t="shared" si="10"/>
        <v>0.5</v>
      </c>
      <c r="AF29" t="s">
        <v>67</v>
      </c>
      <c r="AG29">
        <f t="shared" si="11"/>
        <v>-1</v>
      </c>
      <c r="AH29" t="s">
        <v>70</v>
      </c>
      <c r="AI29">
        <f t="shared" si="12"/>
        <v>-1</v>
      </c>
      <c r="AJ29" t="s">
        <v>70</v>
      </c>
      <c r="AK29">
        <f t="shared" si="13"/>
        <v>-1</v>
      </c>
      <c r="AL29" t="s">
        <v>66</v>
      </c>
      <c r="AM29">
        <f t="shared" si="14"/>
        <v>0.5</v>
      </c>
      <c r="AN29" t="s">
        <v>66</v>
      </c>
      <c r="AO29">
        <f t="shared" si="15"/>
        <v>0.5</v>
      </c>
      <c r="AP29" t="s">
        <v>65</v>
      </c>
      <c r="AQ29">
        <f t="shared" si="16"/>
        <v>-0.5</v>
      </c>
      <c r="AR29" t="s">
        <v>66</v>
      </c>
      <c r="AS29">
        <f t="shared" si="17"/>
        <v>-0.5</v>
      </c>
      <c r="AT29" t="s">
        <v>70</v>
      </c>
      <c r="AU29">
        <f t="shared" si="18"/>
        <v>1</v>
      </c>
      <c r="AV29" s="2">
        <f t="shared" si="19"/>
        <v>-1.5</v>
      </c>
      <c r="AW29" s="1" t="s">
        <v>132</v>
      </c>
      <c r="AX29" t="s">
        <v>67</v>
      </c>
      <c r="AY29" t="s">
        <v>67</v>
      </c>
      <c r="AZ29" t="s">
        <v>66</v>
      </c>
      <c r="BA29" t="s">
        <v>66</v>
      </c>
      <c r="BB29" t="s">
        <v>70</v>
      </c>
      <c r="BC29" t="s">
        <v>66</v>
      </c>
      <c r="BD29" t="s">
        <v>69</v>
      </c>
      <c r="BE29" t="s">
        <v>66</v>
      </c>
      <c r="BF29" t="s">
        <v>69</v>
      </c>
      <c r="BG29" t="s">
        <v>67</v>
      </c>
      <c r="BH29" t="s">
        <v>65</v>
      </c>
      <c r="BL29" t="s">
        <v>71</v>
      </c>
      <c r="BN29" t="s">
        <v>71</v>
      </c>
      <c r="BY29" t="s">
        <v>72</v>
      </c>
      <c r="BZ29" t="s">
        <v>72</v>
      </c>
      <c r="CA29" t="s">
        <v>73</v>
      </c>
    </row>
    <row r="30" spans="1:79" x14ac:dyDescent="0.25">
      <c r="A30">
        <v>45556.729685636572</v>
      </c>
      <c r="B30" t="s">
        <v>127</v>
      </c>
      <c r="C30">
        <v>2000</v>
      </c>
      <c r="D30" t="s">
        <v>75</v>
      </c>
      <c r="E30" t="s">
        <v>95</v>
      </c>
      <c r="F30" t="s">
        <v>96</v>
      </c>
      <c r="G30" t="s">
        <v>76</v>
      </c>
      <c r="H30" t="s">
        <v>83</v>
      </c>
      <c r="I30" t="s">
        <v>128</v>
      </c>
      <c r="J30" t="s">
        <v>90</v>
      </c>
      <c r="K30" s="1" t="s">
        <v>132</v>
      </c>
      <c r="L30" t="s">
        <v>68</v>
      </c>
      <c r="M30">
        <f t="shared" si="0"/>
        <v>-1</v>
      </c>
      <c r="N30" t="s">
        <v>70</v>
      </c>
      <c r="O30">
        <f t="shared" si="1"/>
        <v>-1</v>
      </c>
      <c r="P30" t="s">
        <v>68</v>
      </c>
      <c r="Q30">
        <f t="shared" si="2"/>
        <v>-1</v>
      </c>
      <c r="R30" t="s">
        <v>69</v>
      </c>
      <c r="S30">
        <f t="shared" si="3"/>
        <v>-1</v>
      </c>
      <c r="T30" t="s">
        <v>68</v>
      </c>
      <c r="U30">
        <f t="shared" si="4"/>
        <v>-1</v>
      </c>
      <c r="V30" t="s">
        <v>66</v>
      </c>
      <c r="W30">
        <f t="shared" si="5"/>
        <v>-0.5</v>
      </c>
      <c r="X30" t="s">
        <v>69</v>
      </c>
      <c r="Y30">
        <f t="shared" si="6"/>
        <v>-1</v>
      </c>
      <c r="Z30" t="s">
        <v>70</v>
      </c>
      <c r="AA30">
        <f t="shared" si="7"/>
        <v>-1</v>
      </c>
      <c r="AB30" s="2">
        <f t="shared" si="8"/>
        <v>-7.5</v>
      </c>
      <c r="AC30" s="2">
        <f t="shared" si="9"/>
        <v>-8.4375</v>
      </c>
      <c r="AD30" t="s">
        <v>67</v>
      </c>
      <c r="AE30">
        <f t="shared" si="10"/>
        <v>1</v>
      </c>
      <c r="AF30" t="s">
        <v>66</v>
      </c>
      <c r="AG30">
        <f t="shared" si="11"/>
        <v>0.5</v>
      </c>
      <c r="AH30" t="s">
        <v>70</v>
      </c>
      <c r="AI30">
        <f t="shared" si="12"/>
        <v>-1</v>
      </c>
      <c r="AJ30" t="s">
        <v>70</v>
      </c>
      <c r="AK30">
        <f t="shared" si="13"/>
        <v>-1</v>
      </c>
      <c r="AL30" t="s">
        <v>68</v>
      </c>
      <c r="AM30">
        <f t="shared" si="14"/>
        <v>-1</v>
      </c>
      <c r="AN30" t="s">
        <v>65</v>
      </c>
      <c r="AO30">
        <f t="shared" si="15"/>
        <v>-0.5</v>
      </c>
      <c r="AP30" t="s">
        <v>67</v>
      </c>
      <c r="AQ30">
        <f t="shared" si="16"/>
        <v>-1</v>
      </c>
      <c r="AR30" t="s">
        <v>70</v>
      </c>
      <c r="AS30">
        <f t="shared" si="17"/>
        <v>-1</v>
      </c>
      <c r="AT30" t="s">
        <v>70</v>
      </c>
      <c r="AU30">
        <f t="shared" si="18"/>
        <v>1</v>
      </c>
      <c r="AV30" s="2">
        <f t="shared" si="19"/>
        <v>-3</v>
      </c>
      <c r="AW30" s="1" t="s">
        <v>132</v>
      </c>
      <c r="AX30" t="s">
        <v>70</v>
      </c>
      <c r="AY30" t="s">
        <v>66</v>
      </c>
      <c r="AZ30" t="s">
        <v>68</v>
      </c>
      <c r="BA30" t="s">
        <v>69</v>
      </c>
      <c r="BB30" t="s">
        <v>67</v>
      </c>
      <c r="BC30" t="s">
        <v>70</v>
      </c>
      <c r="BD30" t="s">
        <v>70</v>
      </c>
      <c r="BE30" t="s">
        <v>70</v>
      </c>
      <c r="BF30" t="s">
        <v>70</v>
      </c>
      <c r="BG30" t="s">
        <v>68</v>
      </c>
      <c r="BH30" t="s">
        <v>69</v>
      </c>
      <c r="BK30" t="s">
        <v>71</v>
      </c>
      <c r="BL30" t="s">
        <v>71</v>
      </c>
      <c r="BQ30" t="s">
        <v>71</v>
      </c>
      <c r="BR30" t="s">
        <v>71</v>
      </c>
      <c r="BV30" t="s">
        <v>71</v>
      </c>
      <c r="BW30" t="s">
        <v>71</v>
      </c>
      <c r="BY30" t="s">
        <v>101</v>
      </c>
      <c r="BZ30" t="s">
        <v>79</v>
      </c>
      <c r="CA30" t="s">
        <v>79</v>
      </c>
    </row>
    <row r="31" spans="1:79" x14ac:dyDescent="0.25">
      <c r="A31">
        <v>45560.55297287037</v>
      </c>
      <c r="B31" t="s">
        <v>129</v>
      </c>
      <c r="C31">
        <v>1999</v>
      </c>
      <c r="D31" t="s">
        <v>59</v>
      </c>
      <c r="E31" t="s">
        <v>130</v>
      </c>
      <c r="F31" t="s">
        <v>76</v>
      </c>
      <c r="G31" t="s">
        <v>96</v>
      </c>
      <c r="H31" t="s">
        <v>83</v>
      </c>
      <c r="I31" t="s">
        <v>89</v>
      </c>
      <c r="J31" t="s">
        <v>77</v>
      </c>
      <c r="K31" s="1" t="s">
        <v>132</v>
      </c>
      <c r="L31" t="s">
        <v>67</v>
      </c>
      <c r="M31">
        <f t="shared" si="0"/>
        <v>-1</v>
      </c>
      <c r="N31" t="s">
        <v>69</v>
      </c>
      <c r="O31">
        <f t="shared" si="1"/>
        <v>-1</v>
      </c>
      <c r="P31" t="s">
        <v>68</v>
      </c>
      <c r="Q31">
        <f t="shared" si="2"/>
        <v>-1</v>
      </c>
      <c r="R31" t="s">
        <v>70</v>
      </c>
      <c r="S31">
        <f t="shared" si="3"/>
        <v>-1</v>
      </c>
      <c r="T31" t="s">
        <v>67</v>
      </c>
      <c r="U31">
        <f t="shared" si="4"/>
        <v>-1</v>
      </c>
      <c r="V31" t="s">
        <v>65</v>
      </c>
      <c r="W31">
        <f t="shared" si="5"/>
        <v>0.5</v>
      </c>
      <c r="X31" t="s">
        <v>66</v>
      </c>
      <c r="Y31">
        <f t="shared" si="6"/>
        <v>-0.5</v>
      </c>
      <c r="Z31" t="s">
        <v>70</v>
      </c>
      <c r="AA31">
        <f t="shared" si="7"/>
        <v>-1</v>
      </c>
      <c r="AB31" s="2">
        <f t="shared" si="8"/>
        <v>-6</v>
      </c>
      <c r="AC31" s="2">
        <f t="shared" si="9"/>
        <v>-6.75</v>
      </c>
      <c r="AD31" t="s">
        <v>69</v>
      </c>
      <c r="AE31">
        <f t="shared" si="10"/>
        <v>-1</v>
      </c>
      <c r="AF31" t="s">
        <v>69</v>
      </c>
      <c r="AG31">
        <f t="shared" si="11"/>
        <v>1</v>
      </c>
      <c r="AH31" t="s">
        <v>70</v>
      </c>
      <c r="AI31">
        <f t="shared" si="12"/>
        <v>-1</v>
      </c>
      <c r="AJ31" t="s">
        <v>70</v>
      </c>
      <c r="AK31">
        <f t="shared" si="13"/>
        <v>-1</v>
      </c>
      <c r="AL31" t="s">
        <v>68</v>
      </c>
      <c r="AM31">
        <f t="shared" si="14"/>
        <v>-1</v>
      </c>
      <c r="AN31" t="s">
        <v>65</v>
      </c>
      <c r="AO31">
        <f t="shared" si="15"/>
        <v>-0.5</v>
      </c>
      <c r="AP31" t="s">
        <v>67</v>
      </c>
      <c r="AQ31">
        <f t="shared" si="16"/>
        <v>-1</v>
      </c>
      <c r="AR31" t="s">
        <v>70</v>
      </c>
      <c r="AS31">
        <f t="shared" si="17"/>
        <v>-1</v>
      </c>
      <c r="AT31" t="s">
        <v>66</v>
      </c>
      <c r="AU31">
        <f t="shared" si="18"/>
        <v>0.5</v>
      </c>
      <c r="AV31" s="2">
        <f t="shared" si="19"/>
        <v>-5</v>
      </c>
      <c r="AW31" s="1" t="s">
        <v>132</v>
      </c>
      <c r="AX31" t="s">
        <v>70</v>
      </c>
      <c r="AY31" t="s">
        <v>66</v>
      </c>
      <c r="AZ31" t="s">
        <v>67</v>
      </c>
      <c r="BA31" t="s">
        <v>65</v>
      </c>
      <c r="BB31" t="s">
        <v>69</v>
      </c>
      <c r="BC31" t="s">
        <v>70</v>
      </c>
      <c r="BD31" t="s">
        <v>70</v>
      </c>
      <c r="BE31" t="s">
        <v>70</v>
      </c>
      <c r="BF31" t="s">
        <v>70</v>
      </c>
      <c r="BG31" t="s">
        <v>67</v>
      </c>
      <c r="BH31" t="s">
        <v>70</v>
      </c>
      <c r="BQ31" t="s">
        <v>71</v>
      </c>
      <c r="BR31" t="s">
        <v>71</v>
      </c>
      <c r="BV31" t="s">
        <v>71</v>
      </c>
      <c r="BY31" t="s">
        <v>79</v>
      </c>
      <c r="BZ31" t="s">
        <v>79</v>
      </c>
      <c r="CA31" t="s">
        <v>79</v>
      </c>
    </row>
    <row r="32" spans="1:79" x14ac:dyDescent="0.25">
      <c r="K32" s="1" t="s">
        <v>137</v>
      </c>
      <c r="M32" t="str">
        <f t="shared" si="0"/>
        <v>error</v>
      </c>
      <c r="N32" t="e">
        <f t="shared" ref="N32:AT32" si="20">+AVERAGE(N2:N31)</f>
        <v>#DIV/0!</v>
      </c>
      <c r="O32" t="e">
        <f t="shared" si="1"/>
        <v>#DIV/0!</v>
      </c>
      <c r="P32" t="e">
        <f t="shared" si="20"/>
        <v>#DIV/0!</v>
      </c>
      <c r="Q32" t="e">
        <f t="shared" si="2"/>
        <v>#DIV/0!</v>
      </c>
      <c r="R32" t="e">
        <f t="shared" si="20"/>
        <v>#DIV/0!</v>
      </c>
      <c r="S32" t="e">
        <f t="shared" si="3"/>
        <v>#DIV/0!</v>
      </c>
      <c r="T32" t="e">
        <f t="shared" si="20"/>
        <v>#DIV/0!</v>
      </c>
      <c r="U32" t="e">
        <f t="shared" si="4"/>
        <v>#DIV/0!</v>
      </c>
      <c r="V32" t="e">
        <f t="shared" si="20"/>
        <v>#DIV/0!</v>
      </c>
      <c r="W32" t="e">
        <f t="shared" si="5"/>
        <v>#DIV/0!</v>
      </c>
      <c r="X32" t="e">
        <f t="shared" si="20"/>
        <v>#DIV/0!</v>
      </c>
      <c r="Y32" t="e">
        <f t="shared" si="6"/>
        <v>#DIV/0!</v>
      </c>
      <c r="Z32" t="e">
        <f t="shared" si="20"/>
        <v>#DIV/0!</v>
      </c>
      <c r="AA32" t="e">
        <f t="shared" si="7"/>
        <v>#DIV/0!</v>
      </c>
      <c r="AB32" s="2"/>
      <c r="AC32" s="2"/>
      <c r="AD32" t="e">
        <f t="shared" si="20"/>
        <v>#DIV/0!</v>
      </c>
      <c r="AE32" t="e">
        <f t="shared" si="10"/>
        <v>#DIV/0!</v>
      </c>
      <c r="AF32" t="e">
        <f t="shared" si="20"/>
        <v>#DIV/0!</v>
      </c>
      <c r="AG32" t="e">
        <f t="shared" si="11"/>
        <v>#DIV/0!</v>
      </c>
      <c r="AH32" t="e">
        <f t="shared" si="20"/>
        <v>#DIV/0!</v>
      </c>
      <c r="AI32" t="e">
        <f t="shared" si="12"/>
        <v>#DIV/0!</v>
      </c>
      <c r="AJ32" t="e">
        <f t="shared" si="20"/>
        <v>#DIV/0!</v>
      </c>
      <c r="AK32" t="e">
        <f t="shared" si="13"/>
        <v>#DIV/0!</v>
      </c>
      <c r="AL32" t="e">
        <f t="shared" si="20"/>
        <v>#DIV/0!</v>
      </c>
      <c r="AM32" t="e">
        <f t="shared" si="14"/>
        <v>#DIV/0!</v>
      </c>
      <c r="AN32" t="e">
        <f t="shared" si="20"/>
        <v>#DIV/0!</v>
      </c>
      <c r="AO32" t="e">
        <f t="shared" si="15"/>
        <v>#DIV/0!</v>
      </c>
      <c r="AP32" t="e">
        <f t="shared" si="20"/>
        <v>#DIV/0!</v>
      </c>
      <c r="AQ32" t="e">
        <f t="shared" si="16"/>
        <v>#DIV/0!</v>
      </c>
      <c r="AR32" t="e">
        <f t="shared" si="20"/>
        <v>#DIV/0!</v>
      </c>
      <c r="AS32" t="e">
        <f t="shared" si="17"/>
        <v>#DIV/0!</v>
      </c>
      <c r="AT32" t="e">
        <f t="shared" si="20"/>
        <v>#DIV/0!</v>
      </c>
      <c r="AU32" t="e">
        <f t="shared" si="18"/>
        <v>#DIV/0!</v>
      </c>
      <c r="AV32" s="2" t="e">
        <f t="shared" si="19"/>
        <v>#DIV/0!</v>
      </c>
      <c r="AW32" s="1"/>
    </row>
    <row r="33" spans="12:49" x14ac:dyDescent="0.25">
      <c r="L33" t="str">
        <f>IF(AS2="Totalmente de Acuerdo",1,IF(AS2="Muy de Acuerdo",0.66,IF(AS2="Levemente de Acuerdo",0.33,IF(AS2="Levemente en Desacuerdo",-0.33,IF(AS2="Muy en Desacuerdo",-0.66,IF(AS2="Totalmente en Desacuerdo",-1,"error"))))))</f>
        <v>error</v>
      </c>
      <c r="M33" t="str">
        <f t="shared" si="0"/>
        <v>error</v>
      </c>
      <c r="O33" t="str">
        <f t="shared" si="1"/>
        <v>error</v>
      </c>
      <c r="Q33" t="str">
        <f t="shared" si="2"/>
        <v>error</v>
      </c>
      <c r="S33" t="str">
        <f t="shared" si="3"/>
        <v>error</v>
      </c>
      <c r="U33" t="str">
        <f t="shared" si="4"/>
        <v>error</v>
      </c>
      <c r="W33" t="str">
        <f t="shared" si="5"/>
        <v>error</v>
      </c>
      <c r="Y33" t="str">
        <f t="shared" si="6"/>
        <v>error</v>
      </c>
      <c r="AA33" t="str">
        <f t="shared" si="7"/>
        <v>error</v>
      </c>
      <c r="AB33" s="2"/>
      <c r="AC33" s="2"/>
      <c r="AE33" t="str">
        <f t="shared" si="10"/>
        <v>error</v>
      </c>
      <c r="AF33" t="str">
        <f t="shared" ref="AF33:AR33" si="21">IF(AE2="Totalmente de Acuerdo",1,IF(AE2="Muy de Acuerdo",0.66,IF(AE2="Levemente de Acuerdo",0.33,IF(AE2="Levemente en Desacuerdo",-0.33,IF(AE2="Muy en Desacuerdo",-0.66,IF(AE2="Totalmente en Desacuerdo",-1,"error"))))))</f>
        <v>error</v>
      </c>
      <c r="AG33" t="str">
        <f t="shared" si="11"/>
        <v>error</v>
      </c>
      <c r="AH33" t="str">
        <f t="shared" si="21"/>
        <v>error</v>
      </c>
      <c r="AI33" t="str">
        <f t="shared" si="12"/>
        <v>error</v>
      </c>
      <c r="AJ33" t="str">
        <f t="shared" si="21"/>
        <v>error</v>
      </c>
      <c r="AK33" t="str">
        <f t="shared" si="13"/>
        <v>error</v>
      </c>
      <c r="AL33" t="str">
        <f t="shared" si="21"/>
        <v>error</v>
      </c>
      <c r="AM33" t="str">
        <f t="shared" si="14"/>
        <v>error</v>
      </c>
      <c r="AN33" t="str">
        <f t="shared" si="21"/>
        <v>error</v>
      </c>
      <c r="AO33" t="str">
        <f t="shared" si="15"/>
        <v>error</v>
      </c>
      <c r="AP33" t="str">
        <f t="shared" si="21"/>
        <v>error</v>
      </c>
      <c r="AQ33" t="str">
        <f t="shared" si="16"/>
        <v>error</v>
      </c>
      <c r="AR33" t="str">
        <f t="shared" si="21"/>
        <v>error</v>
      </c>
      <c r="AS33" t="str">
        <f t="shared" si="17"/>
        <v>error</v>
      </c>
      <c r="AT33" t="str">
        <f>IF(M2="Totalmente de Acuerdo",1,IF(M2="Muy de Acuerdo",0.66,IF(M2="Levemente de Acuerdo",0.33,IF(M2="Levemente en Desacuerdo",-0.33,IF(M2="Muy en Desacuerdo",-0.66,IF(M2="Totalmente en Desacuerdo",-1,"error"))))))</f>
        <v>error</v>
      </c>
      <c r="AU33" t="str">
        <f t="shared" si="18"/>
        <v>error</v>
      </c>
      <c r="AV33" s="2" t="e">
        <f t="shared" si="19"/>
        <v>#VALUE!</v>
      </c>
      <c r="AW33" s="1" t="s">
        <v>132</v>
      </c>
    </row>
    <row r="34" spans="12:49" x14ac:dyDescent="0.25">
      <c r="L34" t="str">
        <f>IF(AS2="Totalmente de Acuerdo",-1,IF(AS2="Muy de Acuerdo",-0.66,IF(AS2="Levemente de Acuerdo",-0.33,IF(AS2="Levemente en Desacuerdo",0.33,IF(AS2="Muy en Desacuerdo",0.66,IF(AS2="Totalmente en Desacuerdo",1,"error"))))))</f>
        <v>error</v>
      </c>
      <c r="M34" t="str">
        <f t="shared" si="0"/>
        <v>error</v>
      </c>
      <c r="O34" t="str">
        <f t="shared" si="1"/>
        <v>error</v>
      </c>
      <c r="Q34" t="str">
        <f t="shared" si="2"/>
        <v>error</v>
      </c>
      <c r="S34" t="str">
        <f t="shared" si="3"/>
        <v>error</v>
      </c>
      <c r="U34" t="str">
        <f t="shared" si="4"/>
        <v>error</v>
      </c>
      <c r="W34" t="str">
        <f t="shared" si="5"/>
        <v>error</v>
      </c>
      <c r="Y34" t="str">
        <f t="shared" si="6"/>
        <v>error</v>
      </c>
      <c r="AA34" t="str">
        <f t="shared" si="7"/>
        <v>error</v>
      </c>
      <c r="AB34" s="2"/>
      <c r="AC34" s="2"/>
      <c r="AE34" t="str">
        <f t="shared" si="10"/>
        <v>error</v>
      </c>
      <c r="AF34" t="str">
        <f t="shared" ref="AF34:AR34" si="22">IF(AE2="Totalmente de Acuerdo",-1,IF(AE2="Muy de Acuerdo",-0.66,IF(AE2="Levemente de Acuerdo",-0.33,IF(AE2="Levemente en Desacuerdo",0.33,IF(AE2="Muy en Desacuerdo",0.66,IF(AE2="Totalmente en Desacuerdo",1,"error"))))))</f>
        <v>error</v>
      </c>
      <c r="AG34" t="str">
        <f t="shared" si="11"/>
        <v>error</v>
      </c>
      <c r="AH34" t="str">
        <f t="shared" si="22"/>
        <v>error</v>
      </c>
      <c r="AI34" t="str">
        <f t="shared" si="12"/>
        <v>error</v>
      </c>
      <c r="AJ34" t="str">
        <f t="shared" si="22"/>
        <v>error</v>
      </c>
      <c r="AK34" t="str">
        <f t="shared" si="13"/>
        <v>error</v>
      </c>
      <c r="AL34" t="str">
        <f t="shared" si="22"/>
        <v>error</v>
      </c>
      <c r="AM34" t="str">
        <f t="shared" si="14"/>
        <v>error</v>
      </c>
      <c r="AN34" t="str">
        <f t="shared" si="22"/>
        <v>error</v>
      </c>
      <c r="AO34" t="str">
        <f t="shared" si="15"/>
        <v>error</v>
      </c>
      <c r="AP34" t="str">
        <f t="shared" si="22"/>
        <v>error</v>
      </c>
      <c r="AQ34" t="str">
        <f t="shared" si="16"/>
        <v>error</v>
      </c>
      <c r="AR34" t="str">
        <f t="shared" si="22"/>
        <v>error</v>
      </c>
      <c r="AS34" t="str">
        <f t="shared" si="17"/>
        <v>error</v>
      </c>
      <c r="AT34" t="str">
        <f>IF(M2="Totalmente de Acuerdo",-1,IF(M2="Muy de Acuerdo",-0.66,IF(M2="Levemente de Acuerdo",-0.33,IF(M2="Levemente en Desacuerdo",0.33,IF(M2="Muy en Desacuerdo",0.66,IF(M2="Totalmente en Desacuerdo",1,"error"))))))</f>
        <v>error</v>
      </c>
      <c r="AU34" t="str">
        <f t="shared" si="18"/>
        <v>error</v>
      </c>
      <c r="AV34" s="2" t="e">
        <f t="shared" si="19"/>
        <v>#VALUE!</v>
      </c>
    </row>
    <row r="35" spans="12:49" x14ac:dyDescent="0.25">
      <c r="M35" t="str">
        <f t="shared" si="0"/>
        <v>error</v>
      </c>
      <c r="AB35" s="2">
        <f>9/8</f>
        <v>1.125</v>
      </c>
      <c r="AC35" s="2">
        <f>+AB35*AB$35</f>
        <v>1.265625</v>
      </c>
      <c r="AE35" t="str">
        <f t="shared" si="10"/>
        <v>error</v>
      </c>
      <c r="AG35" t="str">
        <f t="shared" si="11"/>
        <v>error</v>
      </c>
      <c r="AI35" t="str">
        <f t="shared" si="12"/>
        <v>error</v>
      </c>
      <c r="AK35" t="str">
        <f t="shared" si="13"/>
        <v>error</v>
      </c>
      <c r="AM35" t="str">
        <f t="shared" si="14"/>
        <v>error</v>
      </c>
      <c r="AO35" t="str">
        <f t="shared" si="15"/>
        <v>error</v>
      </c>
      <c r="AQ35" t="str">
        <f t="shared" si="16"/>
        <v>error</v>
      </c>
      <c r="AS35" t="str">
        <f t="shared" si="17"/>
        <v>error</v>
      </c>
      <c r="AU35" t="str">
        <f t="shared" si="18"/>
        <v>error</v>
      </c>
      <c r="AV35" s="2" t="e">
        <f t="shared" si="19"/>
        <v>#VALUE!</v>
      </c>
    </row>
  </sheetData>
  <conditionalFormatting sqref="N32 P32 R32 T32 V32 X32 Z32 AC32:AD32 AF32 AH32 AJ32 AL32 AN32 AP32 AR32 AT32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5E39-7509-4E9B-8A3B-365689697A5F}">
  <dimension ref="A1:CB35"/>
  <sheetViews>
    <sheetView topLeftCell="AM1" workbookViewId="0">
      <selection activeCell="AU7" sqref="AU7"/>
    </sheetView>
  </sheetViews>
  <sheetFormatPr baseColWidth="10" defaultColWidth="18.85546875" defaultRowHeight="15" x14ac:dyDescent="0.25"/>
  <cols>
    <col min="24" max="25" width="29.5703125" customWidth="1"/>
    <col min="27" max="27" width="17.140625" customWidth="1"/>
    <col min="77" max="77" width="65.28515625" bestFit="1" customWidth="1"/>
    <col min="78" max="78" width="70.28515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132</v>
      </c>
      <c r="L1" t="s">
        <v>25</v>
      </c>
      <c r="M1" s="1" t="s">
        <v>133</v>
      </c>
      <c r="N1" t="s">
        <v>10</v>
      </c>
      <c r="O1" s="1" t="s">
        <v>133</v>
      </c>
      <c r="P1" t="s">
        <v>12</v>
      </c>
      <c r="Q1" s="1" t="s">
        <v>133</v>
      </c>
      <c r="R1" t="s">
        <v>13</v>
      </c>
      <c r="S1" s="1" t="s">
        <v>133</v>
      </c>
      <c r="T1" t="s">
        <v>14</v>
      </c>
      <c r="U1" s="1" t="s">
        <v>133</v>
      </c>
      <c r="V1" t="s">
        <v>15</v>
      </c>
      <c r="W1" s="1" t="s">
        <v>133</v>
      </c>
      <c r="X1" t="s">
        <v>16</v>
      </c>
      <c r="Y1" s="1" t="s">
        <v>133</v>
      </c>
      <c r="Z1" t="s">
        <v>17</v>
      </c>
      <c r="AA1" s="1" t="s">
        <v>133</v>
      </c>
      <c r="AB1" s="2" t="s">
        <v>131</v>
      </c>
      <c r="AC1" s="2" t="s">
        <v>134</v>
      </c>
      <c r="AD1" t="s">
        <v>11</v>
      </c>
      <c r="AE1" s="1" t="s">
        <v>133</v>
      </c>
      <c r="AF1" t="s">
        <v>18</v>
      </c>
      <c r="AG1" s="1" t="s">
        <v>133</v>
      </c>
      <c r="AH1" t="s">
        <v>19</v>
      </c>
      <c r="AI1" s="1" t="s">
        <v>133</v>
      </c>
      <c r="AJ1" t="s">
        <v>20</v>
      </c>
      <c r="AK1" s="1" t="s">
        <v>133</v>
      </c>
      <c r="AL1" t="s">
        <v>21</v>
      </c>
      <c r="AM1" s="1" t="s">
        <v>133</v>
      </c>
      <c r="AN1" t="s">
        <v>22</v>
      </c>
      <c r="AO1" s="1" t="s">
        <v>133</v>
      </c>
      <c r="AP1" t="s">
        <v>23</v>
      </c>
      <c r="AQ1" s="1" t="s">
        <v>133</v>
      </c>
      <c r="AR1" t="s">
        <v>24</v>
      </c>
      <c r="AS1" s="1" t="s">
        <v>133</v>
      </c>
      <c r="AT1" t="s">
        <v>26</v>
      </c>
      <c r="AU1" s="1" t="s">
        <v>133</v>
      </c>
      <c r="AV1" s="2" t="s">
        <v>135</v>
      </c>
      <c r="AW1" s="1" t="s">
        <v>132</v>
      </c>
      <c r="AX1" t="s">
        <v>27</v>
      </c>
      <c r="AY1" t="s">
        <v>28</v>
      </c>
      <c r="AZ1" t="s">
        <v>29</v>
      </c>
      <c r="BA1" t="s">
        <v>30</v>
      </c>
      <c r="BB1" t="s">
        <v>31</v>
      </c>
      <c r="BC1" t="s">
        <v>32</v>
      </c>
      <c r="BD1" t="s">
        <v>33</v>
      </c>
      <c r="BE1" t="s">
        <v>34</v>
      </c>
      <c r="BF1" t="s">
        <v>35</v>
      </c>
      <c r="BG1" t="s">
        <v>36</v>
      </c>
      <c r="BH1" t="s">
        <v>37</v>
      </c>
      <c r="BI1" t="s">
        <v>38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  <c r="BO1" t="s">
        <v>44</v>
      </c>
      <c r="BP1" t="s">
        <v>45</v>
      </c>
      <c r="BQ1" t="s">
        <v>46</v>
      </c>
      <c r="BR1" t="s">
        <v>47</v>
      </c>
      <c r="BS1" t="s">
        <v>48</v>
      </c>
      <c r="BT1" t="s">
        <v>49</v>
      </c>
      <c r="BU1" t="s">
        <v>50</v>
      </c>
      <c r="BV1" t="s">
        <v>51</v>
      </c>
      <c r="BW1" t="s">
        <v>52</v>
      </c>
      <c r="BX1" t="s">
        <v>53</v>
      </c>
      <c r="BY1" t="s">
        <v>54</v>
      </c>
      <c r="BZ1" t="s">
        <v>55</v>
      </c>
      <c r="CA1" t="s">
        <v>56</v>
      </c>
      <c r="CB1" t="s">
        <v>57</v>
      </c>
    </row>
    <row r="2" spans="1:80" x14ac:dyDescent="0.25">
      <c r="A2">
        <v>45547.897125914351</v>
      </c>
      <c r="B2" t="s">
        <v>58</v>
      </c>
      <c r="C2">
        <v>2002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63</v>
      </c>
      <c r="J2" t="s">
        <v>64</v>
      </c>
      <c r="K2" s="1" t="s">
        <v>132</v>
      </c>
      <c r="L2" t="s">
        <v>70</v>
      </c>
      <c r="M2">
        <f>IF(L2="Totalmente de Acuerdo",-1,IF(L2="Muy de Acuerdo",-0.5,IF(L2="Levemente de Acuerdo",0,IF(L2="Levemente en Desacuerdo",0,IF(L2="Muy en Desacuerdo",0.5,IF(L2="Totalmente en Desacuerdo",1,"error"))))))</f>
        <v>1</v>
      </c>
      <c r="N2" t="s">
        <v>65</v>
      </c>
      <c r="O2">
        <f>IF(N2="Totalmente de Acuerdo",1,IF(N2="Muy de Acuerdo",0.5,IF(N2="Levemente de Acuerdo",0,IF(N2="Levemente en Desacuerdo",0,IF(N2="Muy en Desacuerdo",-0.5,IF(N2="Totalmente en Desacuerdo",-1,"error"))))))</f>
        <v>0</v>
      </c>
      <c r="P2" t="s">
        <v>67</v>
      </c>
      <c r="Q2">
        <f>IF(P2="Totalmente de Acuerdo",-1,IF(P2="Muy de Acuerdo",-0.5,IF(P2="Levemente de Acuerdo",0,IF(P2="Levemente en Desacuerdo",0,IF(P2="Muy en Desacuerdo",0.5,IF(P2="Totalmente en Desacuerdo",1,"error"))))))</f>
        <v>-0.5</v>
      </c>
      <c r="R2" t="s">
        <v>68</v>
      </c>
      <c r="S2">
        <f>IF(R2="Totalmente de Acuerdo",1,IF(R2="Muy de Acuerdo",0.5,IF(R2="Levemente de Acuerdo",0,IF(R2="Levemente en Desacuerdo",0,IF(R2="Muy en Desacuerdo",-0.5,IF(R2="Totalmente en Desacuerdo",-1,"error"))))))</f>
        <v>1</v>
      </c>
      <c r="T2" t="s">
        <v>69</v>
      </c>
      <c r="U2">
        <f>IF(T2="Totalmente de Acuerdo",-1,IF(T2="Muy de Acuerdo",-0.5,IF(T2="Levemente de Acuerdo",0,IF(T2="Levemente en Desacuerdo",0,IF(T2="Muy en Desacuerdo",0.5,IF(T2="Totalmente en Desacuerdo",1,"error"))))))</f>
        <v>0.5</v>
      </c>
      <c r="V2" t="s">
        <v>68</v>
      </c>
      <c r="W2">
        <f>IF(V2="Totalmente de Acuerdo",1,IF(V2="Muy de Acuerdo",0.5,IF(V2="Levemente de Acuerdo",0,IF(V2="Levemente en Desacuerdo",0,IF(V2="Muy en Desacuerdo",-0.5,IF(V2="Totalmente en Desacuerdo",-1,"error"))))))</f>
        <v>1</v>
      </c>
      <c r="X2" t="s">
        <v>68</v>
      </c>
      <c r="Y2">
        <f>IF(X2="Totalmente de Acuerdo",1,IF(X2="Muy de Acuerdo",0.5,IF(X2="Levemente de Acuerdo",0,IF(X2="Levemente en Desacuerdo",0,IF(X2="Muy en Desacuerdo",-0.5,IF(X2="Totalmente en Desacuerdo",-1,"error"))))))</f>
        <v>1</v>
      </c>
      <c r="Z2" t="s">
        <v>69</v>
      </c>
      <c r="AA2">
        <f>IF(Z2="Totalmente de Acuerdo",1,IF(Z2="Muy de Acuerdo",0.5,IF(Z2="Levemente en Acuerdo",0,IF(Z2="Levemente en Desacuerdo",0,IF(Z2="Muy en Desacuerdo",-0.5,IF(Z2="Totalmente en Desacuerdo",-1,"error"))))))</f>
        <v>-0.5</v>
      </c>
      <c r="AB2" s="2">
        <f>+SUM(AA2,Y2,W2,U2,S2,Q2,O2,M2)</f>
        <v>3.5</v>
      </c>
      <c r="AC2" s="2">
        <f t="shared" ref="AC2:AC31" si="0">+AB2*AB$35</f>
        <v>3.9375</v>
      </c>
      <c r="AD2" t="s">
        <v>66</v>
      </c>
      <c r="AE2">
        <f>IF(AD2="Totalmente de Acuerdo",1,IF(AD2="Muy de Acuerdo",0.5,IF(AD2="Levemente de Acuerdo",0,IF(AD2="Levemente en Desacuerdo",0,IF(AD2="Muy en Desacuerdo",-0.5,IF(AD2="Totalmente en Desacuerdo",-1,"error"))))))</f>
        <v>0</v>
      </c>
      <c r="AF2" t="s">
        <v>68</v>
      </c>
      <c r="AG2">
        <f>IF(AF2="Totalmente de Acuerdo",-1,IF(AF2="Muy de Acuerdo",-0.5,IF(AF2="Levemente de Acuerdo",0,IF(AF2="Levemente en Desacuerdo",0,IF(AF2="Muy en Desacuerdo",0.5,IF(AF2="Totalmente en Desacuerdo",1,"error"))))))</f>
        <v>-1</v>
      </c>
      <c r="AH2" t="s">
        <v>66</v>
      </c>
      <c r="AI2">
        <f>IF(AH2="Totalmente de Acuerdo",1,IF(AH2="Muy de Acuerdo",0.5,IF(AH2="Levemente de Acuerdo",0,IF(AH2="Levemente en Desacuerdo",0,IF(AH2="Muy en Desacuerdo",-0.5,IF(AH2="Totalmente en Desacuerdo",-1,"error"))))))</f>
        <v>0</v>
      </c>
      <c r="AJ2" t="s">
        <v>66</v>
      </c>
      <c r="AK2">
        <f>IF(AJ2="Totalmente de Acuerdo",1,IF(AJ2="Muy de Acuerdo",0.5,IF(AJ2="Levemente de Acuerdo",0,IF(AJ2="Levemente en Desacuerdo",0,IF(AJ2="Muy en Desacuerdo",-0.5,IF(AJ2="Totalmente en Desacuerdo",-1,"error"))))))</f>
        <v>0</v>
      </c>
      <c r="AL2" t="s">
        <v>69</v>
      </c>
      <c r="AM2">
        <f>IF(AL2="Totalmente de Acuerdo",-1,IF(AL2="Muy de Acuerdo",-0.5,IF(AL2="Levemente de Acuerdo",0,IF(AL2="Levemente en Desacuerdo",0,IF(AL2="Muy en Desacuerdo",0.5,IF(AL2="Totalmente en Desacuerdo",1,"error"))))))</f>
        <v>0.5</v>
      </c>
      <c r="AN2" t="s">
        <v>70</v>
      </c>
      <c r="AO2">
        <f>IF(AN2="Totalmente de Acuerdo",-1,IF(AN2="Muy de Acuerdo",-0.5,IF(AN2="Levemente de Acuerdo",0,IF(AN2="Levemente en Desacuerdo",0,IF(AN2="Muy en Desacuerdo",0.5,IF(AN2="Totalmente en Desacuerdo",1,"error"))))))</f>
        <v>1</v>
      </c>
      <c r="AP2" t="s">
        <v>69</v>
      </c>
      <c r="AQ2">
        <f>IF(AP2="Totalmente de Acuerdo",-1,IF(AP2="Muy de Acuerdo",-0.5,IF(AP2="Levemente de Acuerdo",0,IF(AP2="Levemente en Desacuerdo",0,IF(AP2="Muy en Desacuerdo",0.5,IF(AP2="Totalmente en Desacuerdo",1,"error"))))))</f>
        <v>0.5</v>
      </c>
      <c r="AR2" t="s">
        <v>68</v>
      </c>
      <c r="AS2">
        <f>IF(AR2="Totalmente de Acuerdo",1,IF(AR2="Muy de Acuerdo",0.5,IF(AR2="Levemente de Acuerdo",0,IF(AR2="Levemente en Desacuerdo",0,IF(AR2="Muy en Desacuerdo",-0.5,IF(AR2="Totalmente en Desacuerdo",-1,"error"))))))</f>
        <v>1</v>
      </c>
      <c r="AT2" t="s">
        <v>70</v>
      </c>
      <c r="AU2">
        <f>IF(AT2="Totalmente de Acuerdo",-1,IF(AT2="Muy de Acuerdo",-0.5,IF(AT2="Levemente de Acuerdo",0,IF(AT2="Levemente en Desacuerdo",0,IF(AT2="Muy en Desacuerdo",0.5,IF(AT2="Totalmente en Desacuerdo",1,"error"))))))</f>
        <v>1</v>
      </c>
      <c r="AV2" s="2">
        <f>AU2+AS2+AQ2+AO2+AM2+AK2+AI2+AG2+AE2</f>
        <v>3</v>
      </c>
      <c r="AW2" s="1" t="s">
        <v>132</v>
      </c>
      <c r="AX2" t="s">
        <v>68</v>
      </c>
      <c r="AY2" t="s">
        <v>69</v>
      </c>
      <c r="AZ2" t="s">
        <v>70</v>
      </c>
      <c r="BA2" t="s">
        <v>67</v>
      </c>
      <c r="BB2" t="s">
        <v>70</v>
      </c>
      <c r="BC2" t="s">
        <v>68</v>
      </c>
      <c r="BD2" t="s">
        <v>65</v>
      </c>
      <c r="BE2" t="s">
        <v>65</v>
      </c>
      <c r="BF2" t="s">
        <v>66</v>
      </c>
      <c r="BG2" t="s">
        <v>69</v>
      </c>
      <c r="BH2" t="s">
        <v>67</v>
      </c>
      <c r="BI2" t="s">
        <v>71</v>
      </c>
      <c r="BM2" t="s">
        <v>71</v>
      </c>
      <c r="BY2" t="s">
        <v>72</v>
      </c>
      <c r="BZ2" t="s">
        <v>73</v>
      </c>
      <c r="CA2" t="s">
        <v>73</v>
      </c>
    </row>
    <row r="3" spans="1:80" x14ac:dyDescent="0.25">
      <c r="A3">
        <v>45547.897613912035</v>
      </c>
      <c r="B3" t="s">
        <v>74</v>
      </c>
      <c r="C3">
        <v>1998</v>
      </c>
      <c r="D3" t="s">
        <v>75</v>
      </c>
      <c r="E3" t="s">
        <v>60</v>
      </c>
      <c r="F3" t="s">
        <v>76</v>
      </c>
      <c r="G3" t="s">
        <v>61</v>
      </c>
      <c r="H3" t="s">
        <v>62</v>
      </c>
      <c r="I3" t="s">
        <v>63</v>
      </c>
      <c r="J3" t="s">
        <v>77</v>
      </c>
      <c r="K3" s="1" t="s">
        <v>132</v>
      </c>
      <c r="L3" t="s">
        <v>65</v>
      </c>
      <c r="M3">
        <f t="shared" ref="M3:M35" si="1">IF(L3="Totalmente de Acuerdo",-1,IF(L3="Muy de Acuerdo",-0.5,IF(L3="Levemente de Acuerdo",0,IF(L3="Levemente en Desacuerdo",0,IF(L3="Muy en Desacuerdo",0.5,IF(L3="Totalmente en Desacuerdo",1,"error"))))))</f>
        <v>0</v>
      </c>
      <c r="N3" t="s">
        <v>69</v>
      </c>
      <c r="O3">
        <f t="shared" ref="O3:O34" si="2">IF(N3="Totalmente de Acuerdo",1,IF(N3="Muy de Acuerdo",0.5,IF(N3="Levemente de Acuerdo",0,IF(N3="Levemente en Desacuerdo",0,IF(N3="Muy en Desacuerdo",-0.5,IF(N3="Totalmente en Desacuerdo",-1,"error"))))))</f>
        <v>-0.5</v>
      </c>
      <c r="P3" t="s">
        <v>68</v>
      </c>
      <c r="Q3">
        <f t="shared" ref="Q3:Q34" si="3">IF(P3="Totalmente de Acuerdo",-1,IF(P3="Muy de Acuerdo",-0.5,IF(P3="Levemente de Acuerdo",0,IF(P3="Levemente en Desacuerdo",0,IF(P3="Muy en Desacuerdo",0.5,IF(P3="Totalmente en Desacuerdo",1,"error"))))))</f>
        <v>-1</v>
      </c>
      <c r="R3" t="s">
        <v>65</v>
      </c>
      <c r="S3">
        <f t="shared" ref="S3:S34" si="4">IF(R3="Totalmente de Acuerdo",1,IF(R3="Muy de Acuerdo",0.5,IF(R3="Levemente de Acuerdo",0,IF(R3="Levemente en Desacuerdo",0,IF(R3="Muy en Desacuerdo",-0.5,IF(R3="Totalmente en Desacuerdo",-1,"error"))))))</f>
        <v>0</v>
      </c>
      <c r="T3" t="s">
        <v>66</v>
      </c>
      <c r="U3">
        <f t="shared" ref="U3:U34" si="5">IF(T3="Totalmente de Acuerdo",-1,IF(T3="Muy de Acuerdo",-0.5,IF(T3="Levemente de Acuerdo",0,IF(T3="Levemente en Desacuerdo",0,IF(T3="Muy en Desacuerdo",0.5,IF(T3="Totalmente en Desacuerdo",1,"error"))))))</f>
        <v>0</v>
      </c>
      <c r="V3" t="s">
        <v>66</v>
      </c>
      <c r="W3">
        <f t="shared" ref="W3:W34" si="6">IF(V3="Totalmente de Acuerdo",1,IF(V3="Muy de Acuerdo",0.5,IF(V3="Levemente de Acuerdo",0,IF(V3="Levemente en Desacuerdo",0,IF(V3="Muy en Desacuerdo",-0.5,IF(V3="Totalmente en Desacuerdo",-1,"error"))))))</f>
        <v>0</v>
      </c>
      <c r="X3" t="s">
        <v>66</v>
      </c>
      <c r="Y3">
        <f t="shared" ref="Y3:Y34" si="7">IF(X3="Totalmente de Acuerdo",1,IF(X3="Muy de Acuerdo",0.5,IF(X3="Levemente de Acuerdo",0,IF(X3="Levemente en Desacuerdo",0,IF(X3="Muy en Desacuerdo",-0.5,IF(X3="Totalmente en Desacuerdo",-1,"error"))))))</f>
        <v>0</v>
      </c>
      <c r="Z3" t="s">
        <v>69</v>
      </c>
      <c r="AA3">
        <f t="shared" ref="AA3:AA34" si="8">IF(Z3="Totalmente de Acuerdo",1,IF(Z3="Muy de Acuerdo",0.5,IF(Z3="Levemente en Acuerdo",0,IF(Z3="Levemente en Desacuerdo",0,IF(Z3="Muy en Desacuerdo",-0.5,IF(Z3="Totalmente en Desacuerdo",-1,"error"))))))</f>
        <v>-0.5</v>
      </c>
      <c r="AB3" s="2">
        <f t="shared" ref="AB3:AB34" si="9">+SUM(AA3,Y3,W3,U3,S3,Q3,O3,M3)</f>
        <v>-2</v>
      </c>
      <c r="AC3" s="2">
        <f t="shared" si="0"/>
        <v>-2.25</v>
      </c>
      <c r="AD3" t="s">
        <v>65</v>
      </c>
      <c r="AE3">
        <f t="shared" ref="AE3:AE35" si="10">IF(AD3="Totalmente de Acuerdo",1,IF(AD3="Muy de Acuerdo",0.5,IF(AD3="Levemente de Acuerdo",0,IF(AD3="Levemente en Desacuerdo",0,IF(AD3="Muy en Desacuerdo",-0.5,IF(AD3="Totalmente en Desacuerdo",-1,"error"))))))</f>
        <v>0</v>
      </c>
      <c r="AF3" t="s">
        <v>65</v>
      </c>
      <c r="AG3">
        <f t="shared" ref="AG3:AG35" si="11">IF(AF3="Totalmente de Acuerdo",-1,IF(AF3="Muy de Acuerdo",-0.5,IF(AF3="Levemente de Acuerdo",0,IF(AF3="Levemente en Desacuerdo",0,IF(AF3="Muy en Desacuerdo",0.5,IF(AF3="Totalmente en Desacuerdo",1,"error"))))))</f>
        <v>0</v>
      </c>
      <c r="AH3" t="s">
        <v>70</v>
      </c>
      <c r="AI3">
        <f t="shared" ref="AI3:AI35" si="12">IF(AH3="Totalmente de Acuerdo",1,IF(AH3="Muy de Acuerdo",0.5,IF(AH3="Levemente de Acuerdo",0,IF(AH3="Levemente en Desacuerdo",0,IF(AH3="Muy en Desacuerdo",-0.5,IF(AH3="Totalmente en Desacuerdo",-1,"error"))))))</f>
        <v>-1</v>
      </c>
      <c r="AJ3" t="s">
        <v>70</v>
      </c>
      <c r="AK3">
        <f t="shared" ref="AK3:AK35" si="13">IF(AJ3="Totalmente de Acuerdo",1,IF(AJ3="Muy de Acuerdo",0.5,IF(AJ3="Levemente de Acuerdo",0,IF(AJ3="Levemente en Desacuerdo",0,IF(AJ3="Muy en Desacuerdo",-0.5,IF(AJ3="Totalmente en Desacuerdo",-1,"error"))))))</f>
        <v>-1</v>
      </c>
      <c r="AL3" t="s">
        <v>67</v>
      </c>
      <c r="AM3">
        <f t="shared" ref="AM3:AM35" si="14">IF(AL3="Totalmente de Acuerdo",-1,IF(AL3="Muy de Acuerdo",-0.5,IF(AL3="Levemente de Acuerdo",0,IF(AL3="Levemente en Desacuerdo",0,IF(AL3="Muy en Desacuerdo",0.5,IF(AL3="Totalmente en Desacuerdo",1,"error"))))))</f>
        <v>-0.5</v>
      </c>
      <c r="AN3" t="s">
        <v>67</v>
      </c>
      <c r="AO3">
        <f t="shared" ref="AO3:AO35" si="15">IF(AN3="Totalmente de Acuerdo",-1,IF(AN3="Muy de Acuerdo",-0.5,IF(AN3="Levemente de Acuerdo",0,IF(AN3="Levemente en Desacuerdo",0,IF(AN3="Muy en Desacuerdo",0.5,IF(AN3="Totalmente en Desacuerdo",1,"error"))))))</f>
        <v>-0.5</v>
      </c>
      <c r="AP3" t="s">
        <v>67</v>
      </c>
      <c r="AQ3">
        <f t="shared" ref="AQ3:AQ35" si="16">IF(AP3="Totalmente de Acuerdo",-1,IF(AP3="Muy de Acuerdo",-0.5,IF(AP3="Levemente de Acuerdo",0,IF(AP3="Levemente en Desacuerdo",0,IF(AP3="Muy en Desacuerdo",0.5,IF(AP3="Totalmente en Desacuerdo",1,"error"))))))</f>
        <v>-0.5</v>
      </c>
      <c r="AR3" t="s">
        <v>70</v>
      </c>
      <c r="AS3">
        <f t="shared" ref="AS3:AS35" si="17">IF(AR3="Totalmente de Acuerdo",1,IF(AR3="Muy de Acuerdo",0.5,IF(AR3="Levemente de Acuerdo",0,IF(AR3="Levemente en Desacuerdo",0,IF(AR3="Muy en Desacuerdo",-0.5,IF(AR3="Totalmente en Desacuerdo",-1,"error"))))))</f>
        <v>-1</v>
      </c>
      <c r="AT3" t="s">
        <v>70</v>
      </c>
      <c r="AU3">
        <f t="shared" ref="AU3:AU35" si="18">IF(AT3="Totalmente de Acuerdo",-1,IF(AT3="Muy de Acuerdo",-0.5,IF(AT3="Levemente de Acuerdo",0,IF(AT3="Levemente en Desacuerdo",0,IF(AT3="Muy en Desacuerdo",0.5,IF(AT3="Totalmente en Desacuerdo",1,"error"))))))</f>
        <v>1</v>
      </c>
      <c r="AV3" s="2">
        <f>AU3+AS3+AQ3+AO3+AM3+AK3+AI3+AG3+AE3</f>
        <v>-3.5</v>
      </c>
      <c r="AW3" s="1" t="s">
        <v>132</v>
      </c>
      <c r="AX3" t="s">
        <v>70</v>
      </c>
      <c r="AY3" t="s">
        <v>65</v>
      </c>
      <c r="AZ3" t="s">
        <v>65</v>
      </c>
      <c r="BA3" t="s">
        <v>65</v>
      </c>
      <c r="BB3" t="s">
        <v>66</v>
      </c>
      <c r="BC3" t="s">
        <v>69</v>
      </c>
      <c r="BD3" t="s">
        <v>69</v>
      </c>
      <c r="BE3" t="s">
        <v>66</v>
      </c>
      <c r="BF3" t="s">
        <v>66</v>
      </c>
      <c r="BG3" t="s">
        <v>67</v>
      </c>
      <c r="BH3" t="s">
        <v>65</v>
      </c>
      <c r="BK3" t="s">
        <v>71</v>
      </c>
      <c r="BL3" t="s">
        <v>71</v>
      </c>
      <c r="BY3" t="s">
        <v>78</v>
      </c>
      <c r="BZ3" t="s">
        <v>79</v>
      </c>
      <c r="CA3" t="s">
        <v>79</v>
      </c>
    </row>
    <row r="4" spans="1:80" x14ac:dyDescent="0.25">
      <c r="A4">
        <v>45547.897886388891</v>
      </c>
      <c r="B4" t="s">
        <v>80</v>
      </c>
      <c r="C4">
        <v>2003</v>
      </c>
      <c r="D4" t="s">
        <v>81</v>
      </c>
      <c r="E4" t="s">
        <v>60</v>
      </c>
      <c r="F4" t="s">
        <v>61</v>
      </c>
      <c r="G4" t="s">
        <v>82</v>
      </c>
      <c r="H4" t="s">
        <v>83</v>
      </c>
      <c r="I4" t="s">
        <v>63</v>
      </c>
      <c r="J4" t="s">
        <v>64</v>
      </c>
      <c r="K4" s="1" t="s">
        <v>132</v>
      </c>
      <c r="L4" t="s">
        <v>66</v>
      </c>
      <c r="M4">
        <f t="shared" si="1"/>
        <v>0</v>
      </c>
      <c r="N4" t="s">
        <v>69</v>
      </c>
      <c r="O4">
        <f t="shared" si="2"/>
        <v>-0.5</v>
      </c>
      <c r="P4" t="s">
        <v>67</v>
      </c>
      <c r="Q4">
        <f t="shared" si="3"/>
        <v>-0.5</v>
      </c>
      <c r="R4" t="s">
        <v>68</v>
      </c>
      <c r="S4">
        <f t="shared" si="4"/>
        <v>1</v>
      </c>
      <c r="T4" t="s">
        <v>65</v>
      </c>
      <c r="U4">
        <f t="shared" si="5"/>
        <v>0</v>
      </c>
      <c r="V4" t="s">
        <v>68</v>
      </c>
      <c r="W4">
        <f t="shared" si="6"/>
        <v>1</v>
      </c>
      <c r="X4" t="s">
        <v>67</v>
      </c>
      <c r="Y4">
        <f t="shared" si="7"/>
        <v>0.5</v>
      </c>
      <c r="Z4" t="s">
        <v>69</v>
      </c>
      <c r="AA4">
        <f t="shared" si="8"/>
        <v>-0.5</v>
      </c>
      <c r="AB4" s="2">
        <f t="shared" si="9"/>
        <v>1</v>
      </c>
      <c r="AC4" s="2">
        <f t="shared" si="0"/>
        <v>1.125</v>
      </c>
      <c r="AD4" t="s">
        <v>68</v>
      </c>
      <c r="AE4">
        <f t="shared" si="10"/>
        <v>1</v>
      </c>
      <c r="AF4" t="s">
        <v>68</v>
      </c>
      <c r="AG4">
        <f t="shared" si="11"/>
        <v>-1</v>
      </c>
      <c r="AH4" t="s">
        <v>65</v>
      </c>
      <c r="AI4">
        <f t="shared" si="12"/>
        <v>0</v>
      </c>
      <c r="AJ4" t="s">
        <v>70</v>
      </c>
      <c r="AK4">
        <f t="shared" si="13"/>
        <v>-1</v>
      </c>
      <c r="AL4" t="s">
        <v>66</v>
      </c>
      <c r="AM4">
        <f t="shared" si="14"/>
        <v>0</v>
      </c>
      <c r="AN4" t="s">
        <v>70</v>
      </c>
      <c r="AO4">
        <f t="shared" si="15"/>
        <v>1</v>
      </c>
      <c r="AP4" t="s">
        <v>70</v>
      </c>
      <c r="AQ4">
        <f t="shared" si="16"/>
        <v>1</v>
      </c>
      <c r="AR4" t="s">
        <v>66</v>
      </c>
      <c r="AS4">
        <f t="shared" si="17"/>
        <v>0</v>
      </c>
      <c r="AT4" t="s">
        <v>69</v>
      </c>
      <c r="AU4">
        <f t="shared" si="18"/>
        <v>0.5</v>
      </c>
      <c r="AV4" s="2">
        <f t="shared" ref="AV4:AV35" si="19">AU4+AS4+AQ4+AO4+AM4+AK4+AI4+AG4+AE4</f>
        <v>1.5</v>
      </c>
      <c r="AW4" s="1" t="s">
        <v>132</v>
      </c>
      <c r="AX4" t="s">
        <v>66</v>
      </c>
      <c r="AY4" t="s">
        <v>67</v>
      </c>
      <c r="AZ4" t="s">
        <v>70</v>
      </c>
      <c r="BA4" t="s">
        <v>67</v>
      </c>
      <c r="BB4" t="s">
        <v>65</v>
      </c>
      <c r="BC4" t="s">
        <v>65</v>
      </c>
      <c r="BD4" t="s">
        <v>65</v>
      </c>
      <c r="BE4" t="s">
        <v>68</v>
      </c>
      <c r="BF4" t="s">
        <v>67</v>
      </c>
      <c r="BG4" t="s">
        <v>66</v>
      </c>
      <c r="BH4" t="s">
        <v>67</v>
      </c>
      <c r="BI4" t="s">
        <v>71</v>
      </c>
      <c r="BM4" t="s">
        <v>71</v>
      </c>
      <c r="BN4" t="s">
        <v>71</v>
      </c>
      <c r="BY4" t="s">
        <v>73</v>
      </c>
      <c r="BZ4" t="s">
        <v>73</v>
      </c>
      <c r="CA4" t="s">
        <v>73</v>
      </c>
    </row>
    <row r="5" spans="1:80" x14ac:dyDescent="0.25">
      <c r="A5">
        <v>45547.899384074073</v>
      </c>
      <c r="B5" t="s">
        <v>84</v>
      </c>
      <c r="C5">
        <v>2001</v>
      </c>
      <c r="D5" t="s">
        <v>59</v>
      </c>
      <c r="E5" t="s">
        <v>60</v>
      </c>
      <c r="F5" t="s">
        <v>76</v>
      </c>
      <c r="G5" t="s">
        <v>76</v>
      </c>
      <c r="H5" t="s">
        <v>83</v>
      </c>
      <c r="I5" t="s">
        <v>63</v>
      </c>
      <c r="J5" t="s">
        <v>64</v>
      </c>
      <c r="K5" s="1" t="s">
        <v>132</v>
      </c>
      <c r="L5" t="s">
        <v>67</v>
      </c>
      <c r="M5">
        <f t="shared" si="1"/>
        <v>-0.5</v>
      </c>
      <c r="N5" t="s">
        <v>65</v>
      </c>
      <c r="O5">
        <f t="shared" si="2"/>
        <v>0</v>
      </c>
      <c r="P5" t="s">
        <v>65</v>
      </c>
      <c r="Q5">
        <f t="shared" si="3"/>
        <v>0</v>
      </c>
      <c r="R5" t="s">
        <v>65</v>
      </c>
      <c r="S5">
        <f t="shared" si="4"/>
        <v>0</v>
      </c>
      <c r="T5" t="s">
        <v>67</v>
      </c>
      <c r="U5">
        <f t="shared" si="5"/>
        <v>-0.5</v>
      </c>
      <c r="V5" t="s">
        <v>67</v>
      </c>
      <c r="W5">
        <f t="shared" si="6"/>
        <v>0.5</v>
      </c>
      <c r="X5" t="s">
        <v>67</v>
      </c>
      <c r="Y5">
        <f t="shared" si="7"/>
        <v>0.5</v>
      </c>
      <c r="Z5" t="s">
        <v>85</v>
      </c>
      <c r="AA5">
        <f t="shared" si="8"/>
        <v>0</v>
      </c>
      <c r="AB5" s="2">
        <f t="shared" si="9"/>
        <v>0</v>
      </c>
      <c r="AC5" s="2">
        <f t="shared" si="0"/>
        <v>0</v>
      </c>
      <c r="AD5" t="s">
        <v>65</v>
      </c>
      <c r="AE5">
        <f t="shared" si="10"/>
        <v>0</v>
      </c>
      <c r="AF5" t="s">
        <v>68</v>
      </c>
      <c r="AG5">
        <f t="shared" si="11"/>
        <v>-1</v>
      </c>
      <c r="AH5" t="s">
        <v>67</v>
      </c>
      <c r="AI5">
        <f t="shared" si="12"/>
        <v>0.5</v>
      </c>
      <c r="AJ5" t="s">
        <v>70</v>
      </c>
      <c r="AK5">
        <f t="shared" si="13"/>
        <v>-1</v>
      </c>
      <c r="AL5" t="s">
        <v>67</v>
      </c>
      <c r="AM5">
        <f t="shared" si="14"/>
        <v>-0.5</v>
      </c>
      <c r="AN5" t="s">
        <v>66</v>
      </c>
      <c r="AO5">
        <f t="shared" si="15"/>
        <v>0</v>
      </c>
      <c r="AP5" t="s">
        <v>66</v>
      </c>
      <c r="AQ5">
        <f t="shared" si="16"/>
        <v>0</v>
      </c>
      <c r="AR5" t="s">
        <v>67</v>
      </c>
      <c r="AS5">
        <f t="shared" si="17"/>
        <v>0.5</v>
      </c>
      <c r="AT5" t="s">
        <v>66</v>
      </c>
      <c r="AU5">
        <f t="shared" si="18"/>
        <v>0</v>
      </c>
      <c r="AV5" s="2">
        <f t="shared" si="19"/>
        <v>-1.5</v>
      </c>
      <c r="AW5" s="1" t="s">
        <v>132</v>
      </c>
      <c r="AX5" t="s">
        <v>65</v>
      </c>
      <c r="AY5" t="s">
        <v>65</v>
      </c>
      <c r="AZ5" t="s">
        <v>66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67</v>
      </c>
      <c r="BG5" t="s">
        <v>67</v>
      </c>
      <c r="BH5" t="s">
        <v>67</v>
      </c>
      <c r="BN5" t="s">
        <v>71</v>
      </c>
      <c r="BY5" t="s">
        <v>73</v>
      </c>
      <c r="BZ5" t="s">
        <v>73</v>
      </c>
      <c r="CA5" t="s">
        <v>73</v>
      </c>
    </row>
    <row r="6" spans="1:80" x14ac:dyDescent="0.25">
      <c r="A6">
        <v>45547.89947956019</v>
      </c>
      <c r="B6" t="s">
        <v>86</v>
      </c>
      <c r="C6">
        <v>2000</v>
      </c>
      <c r="D6" t="s">
        <v>59</v>
      </c>
      <c r="E6" t="s">
        <v>60</v>
      </c>
      <c r="F6" t="s">
        <v>61</v>
      </c>
      <c r="G6" t="s">
        <v>76</v>
      </c>
      <c r="H6" t="s">
        <v>83</v>
      </c>
      <c r="I6" t="s">
        <v>63</v>
      </c>
      <c r="J6" t="s">
        <v>77</v>
      </c>
      <c r="K6" s="1" t="s">
        <v>132</v>
      </c>
      <c r="L6" t="s">
        <v>66</v>
      </c>
      <c r="M6">
        <f t="shared" si="1"/>
        <v>0</v>
      </c>
      <c r="N6" t="s">
        <v>66</v>
      </c>
      <c r="O6">
        <f t="shared" si="2"/>
        <v>0</v>
      </c>
      <c r="P6" t="s">
        <v>67</v>
      </c>
      <c r="Q6">
        <f t="shared" si="3"/>
        <v>-0.5</v>
      </c>
      <c r="R6" t="s">
        <v>67</v>
      </c>
      <c r="S6">
        <f t="shared" si="4"/>
        <v>0.5</v>
      </c>
      <c r="T6" t="s">
        <v>65</v>
      </c>
      <c r="U6">
        <f t="shared" si="5"/>
        <v>0</v>
      </c>
      <c r="V6" t="s">
        <v>66</v>
      </c>
      <c r="W6">
        <f t="shared" si="6"/>
        <v>0</v>
      </c>
      <c r="X6" t="s">
        <v>65</v>
      </c>
      <c r="Y6">
        <f t="shared" si="7"/>
        <v>0</v>
      </c>
      <c r="Z6" t="s">
        <v>69</v>
      </c>
      <c r="AA6">
        <f t="shared" si="8"/>
        <v>-0.5</v>
      </c>
      <c r="AB6" s="2">
        <f t="shared" si="9"/>
        <v>-0.5</v>
      </c>
      <c r="AC6" s="2">
        <f t="shared" si="0"/>
        <v>-0.5625</v>
      </c>
      <c r="AD6" t="s">
        <v>69</v>
      </c>
      <c r="AE6">
        <f t="shared" si="10"/>
        <v>-0.5</v>
      </c>
      <c r="AF6" t="s">
        <v>66</v>
      </c>
      <c r="AG6">
        <f t="shared" si="11"/>
        <v>0</v>
      </c>
      <c r="AH6" t="s">
        <v>66</v>
      </c>
      <c r="AI6">
        <f t="shared" si="12"/>
        <v>0</v>
      </c>
      <c r="AJ6" t="s">
        <v>70</v>
      </c>
      <c r="AK6">
        <f t="shared" si="13"/>
        <v>-1</v>
      </c>
      <c r="AL6" t="s">
        <v>67</v>
      </c>
      <c r="AM6">
        <f t="shared" si="14"/>
        <v>-0.5</v>
      </c>
      <c r="AN6" t="s">
        <v>65</v>
      </c>
      <c r="AO6">
        <f t="shared" si="15"/>
        <v>0</v>
      </c>
      <c r="AP6" t="s">
        <v>69</v>
      </c>
      <c r="AQ6">
        <f t="shared" si="16"/>
        <v>0.5</v>
      </c>
      <c r="AR6" t="s">
        <v>67</v>
      </c>
      <c r="AS6">
        <f t="shared" si="17"/>
        <v>0.5</v>
      </c>
      <c r="AT6" t="s">
        <v>65</v>
      </c>
      <c r="AU6">
        <f t="shared" si="18"/>
        <v>0</v>
      </c>
      <c r="AV6" s="2">
        <f t="shared" si="19"/>
        <v>-1</v>
      </c>
      <c r="AW6" s="1" t="s">
        <v>132</v>
      </c>
      <c r="AX6" t="s">
        <v>66</v>
      </c>
      <c r="AY6" t="s">
        <v>67</v>
      </c>
      <c r="AZ6" t="s">
        <v>69</v>
      </c>
      <c r="BA6" t="s">
        <v>65</v>
      </c>
      <c r="BB6" t="s">
        <v>69</v>
      </c>
      <c r="BC6" t="s">
        <v>69</v>
      </c>
      <c r="BD6" t="s">
        <v>69</v>
      </c>
      <c r="BE6" t="s">
        <v>69</v>
      </c>
      <c r="BF6" t="s">
        <v>67</v>
      </c>
      <c r="BG6" t="s">
        <v>65</v>
      </c>
      <c r="BH6" t="s">
        <v>66</v>
      </c>
      <c r="BK6" t="s">
        <v>71</v>
      </c>
      <c r="BY6" t="s">
        <v>87</v>
      </c>
      <c r="BZ6" t="s">
        <v>79</v>
      </c>
      <c r="CA6" t="s">
        <v>79</v>
      </c>
    </row>
    <row r="7" spans="1:80" x14ac:dyDescent="0.25">
      <c r="A7">
        <v>45547.899490775468</v>
      </c>
      <c r="B7" t="s">
        <v>88</v>
      </c>
      <c r="C7">
        <v>1997</v>
      </c>
      <c r="D7" t="s">
        <v>75</v>
      </c>
      <c r="E7" t="s">
        <v>60</v>
      </c>
      <c r="F7" t="s">
        <v>76</v>
      </c>
      <c r="G7" t="s">
        <v>61</v>
      </c>
      <c r="H7" t="s">
        <v>83</v>
      </c>
      <c r="I7" t="s">
        <v>89</v>
      </c>
      <c r="J7" t="s">
        <v>90</v>
      </c>
      <c r="K7" s="1" t="s">
        <v>132</v>
      </c>
      <c r="L7" t="s">
        <v>70</v>
      </c>
      <c r="M7">
        <f t="shared" si="1"/>
        <v>1</v>
      </c>
      <c r="N7" t="s">
        <v>67</v>
      </c>
      <c r="O7">
        <f t="shared" si="2"/>
        <v>0.5</v>
      </c>
      <c r="P7" t="s">
        <v>68</v>
      </c>
      <c r="Q7">
        <f t="shared" si="3"/>
        <v>-1</v>
      </c>
      <c r="R7" t="s">
        <v>68</v>
      </c>
      <c r="S7">
        <f t="shared" si="4"/>
        <v>1</v>
      </c>
      <c r="T7" t="s">
        <v>70</v>
      </c>
      <c r="U7">
        <f t="shared" si="5"/>
        <v>1</v>
      </c>
      <c r="V7" t="s">
        <v>68</v>
      </c>
      <c r="W7">
        <f t="shared" si="6"/>
        <v>1</v>
      </c>
      <c r="X7" t="s">
        <v>69</v>
      </c>
      <c r="Y7">
        <f t="shared" si="7"/>
        <v>-0.5</v>
      </c>
      <c r="Z7" t="s">
        <v>69</v>
      </c>
      <c r="AA7">
        <f t="shared" si="8"/>
        <v>-0.5</v>
      </c>
      <c r="AB7" s="2">
        <f t="shared" si="9"/>
        <v>2.5</v>
      </c>
      <c r="AC7" s="2">
        <f t="shared" si="0"/>
        <v>2.8125</v>
      </c>
      <c r="AD7" t="s">
        <v>70</v>
      </c>
      <c r="AE7">
        <f t="shared" si="10"/>
        <v>-1</v>
      </c>
      <c r="AF7" t="s">
        <v>68</v>
      </c>
      <c r="AG7">
        <f t="shared" si="11"/>
        <v>-1</v>
      </c>
      <c r="AH7" t="s">
        <v>69</v>
      </c>
      <c r="AI7">
        <f t="shared" si="12"/>
        <v>-0.5</v>
      </c>
      <c r="AJ7" t="s">
        <v>70</v>
      </c>
      <c r="AK7">
        <f t="shared" si="13"/>
        <v>-1</v>
      </c>
      <c r="AL7" t="s">
        <v>65</v>
      </c>
      <c r="AM7">
        <f t="shared" si="14"/>
        <v>0</v>
      </c>
      <c r="AN7" t="s">
        <v>70</v>
      </c>
      <c r="AO7">
        <f t="shared" si="15"/>
        <v>1</v>
      </c>
      <c r="AP7" t="s">
        <v>68</v>
      </c>
      <c r="AQ7">
        <f t="shared" si="16"/>
        <v>-1</v>
      </c>
      <c r="AR7" t="s">
        <v>68</v>
      </c>
      <c r="AS7">
        <f t="shared" si="17"/>
        <v>1</v>
      </c>
      <c r="AT7" t="s">
        <v>70</v>
      </c>
      <c r="AU7">
        <f t="shared" si="18"/>
        <v>1</v>
      </c>
      <c r="AV7" s="2">
        <f t="shared" si="19"/>
        <v>-1.5</v>
      </c>
      <c r="AW7" s="1" t="s">
        <v>132</v>
      </c>
      <c r="AX7" t="s">
        <v>68</v>
      </c>
      <c r="AY7" t="s">
        <v>67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68</v>
      </c>
      <c r="BH7" t="s">
        <v>68</v>
      </c>
      <c r="BI7" t="s">
        <v>71</v>
      </c>
      <c r="BN7" t="s">
        <v>71</v>
      </c>
      <c r="BY7" t="s">
        <v>72</v>
      </c>
      <c r="BZ7" t="s">
        <v>72</v>
      </c>
      <c r="CA7" t="s">
        <v>73</v>
      </c>
    </row>
    <row r="8" spans="1:80" x14ac:dyDescent="0.25">
      <c r="A8">
        <v>45547.899888159722</v>
      </c>
      <c r="B8" t="s">
        <v>91</v>
      </c>
      <c r="C8">
        <v>2003</v>
      </c>
      <c r="D8" t="s">
        <v>59</v>
      </c>
      <c r="E8" t="s">
        <v>60</v>
      </c>
      <c r="F8" t="s">
        <v>92</v>
      </c>
      <c r="G8" t="s">
        <v>82</v>
      </c>
      <c r="H8" t="s">
        <v>93</v>
      </c>
      <c r="I8" t="s">
        <v>63</v>
      </c>
      <c r="J8" t="s">
        <v>64</v>
      </c>
      <c r="K8" s="1" t="s">
        <v>132</v>
      </c>
      <c r="L8" t="s">
        <v>65</v>
      </c>
      <c r="M8">
        <f t="shared" si="1"/>
        <v>0</v>
      </c>
      <c r="N8" t="s">
        <v>65</v>
      </c>
      <c r="O8">
        <f t="shared" si="2"/>
        <v>0</v>
      </c>
      <c r="P8" t="s">
        <v>67</v>
      </c>
      <c r="Q8">
        <f t="shared" si="3"/>
        <v>-0.5</v>
      </c>
      <c r="R8" t="s">
        <v>65</v>
      </c>
      <c r="S8">
        <f t="shared" si="4"/>
        <v>0</v>
      </c>
      <c r="T8" t="s">
        <v>65</v>
      </c>
      <c r="U8">
        <f t="shared" si="5"/>
        <v>0</v>
      </c>
      <c r="V8" t="s">
        <v>68</v>
      </c>
      <c r="W8">
        <f t="shared" si="6"/>
        <v>1</v>
      </c>
      <c r="X8" t="s">
        <v>65</v>
      </c>
      <c r="Y8">
        <f t="shared" si="7"/>
        <v>0</v>
      </c>
      <c r="Z8" t="s">
        <v>69</v>
      </c>
      <c r="AA8">
        <f t="shared" si="8"/>
        <v>-0.5</v>
      </c>
      <c r="AB8" s="2">
        <f t="shared" si="9"/>
        <v>0</v>
      </c>
      <c r="AC8" s="2">
        <f t="shared" si="0"/>
        <v>0</v>
      </c>
      <c r="AD8" t="s">
        <v>69</v>
      </c>
      <c r="AE8">
        <f t="shared" si="10"/>
        <v>-0.5</v>
      </c>
      <c r="AF8" t="s">
        <v>67</v>
      </c>
      <c r="AG8">
        <f t="shared" si="11"/>
        <v>-0.5</v>
      </c>
      <c r="AH8" t="s">
        <v>65</v>
      </c>
      <c r="AI8">
        <f t="shared" si="12"/>
        <v>0</v>
      </c>
      <c r="AJ8" t="s">
        <v>70</v>
      </c>
      <c r="AK8">
        <f t="shared" si="13"/>
        <v>-1</v>
      </c>
      <c r="AL8" t="s">
        <v>68</v>
      </c>
      <c r="AM8">
        <f t="shared" si="14"/>
        <v>-1</v>
      </c>
      <c r="AN8" t="s">
        <v>69</v>
      </c>
      <c r="AO8">
        <f t="shared" si="15"/>
        <v>0.5</v>
      </c>
      <c r="AP8" t="s">
        <v>67</v>
      </c>
      <c r="AQ8">
        <f t="shared" si="16"/>
        <v>-0.5</v>
      </c>
      <c r="AR8" t="s">
        <v>69</v>
      </c>
      <c r="AS8">
        <f t="shared" si="17"/>
        <v>-0.5</v>
      </c>
      <c r="AT8" t="s">
        <v>70</v>
      </c>
      <c r="AU8">
        <f t="shared" si="18"/>
        <v>1</v>
      </c>
      <c r="AV8" s="2">
        <f t="shared" si="19"/>
        <v>-2.5</v>
      </c>
      <c r="AW8" s="1" t="s">
        <v>132</v>
      </c>
      <c r="AX8" t="s">
        <v>68</v>
      </c>
      <c r="AY8" t="s">
        <v>66</v>
      </c>
      <c r="AZ8" t="s">
        <v>65</v>
      </c>
      <c r="BA8" t="s">
        <v>67</v>
      </c>
      <c r="BB8" t="s">
        <v>65</v>
      </c>
      <c r="BC8" t="s">
        <v>67</v>
      </c>
      <c r="BD8" t="s">
        <v>67</v>
      </c>
      <c r="BE8" t="s">
        <v>67</v>
      </c>
      <c r="BF8" t="s">
        <v>67</v>
      </c>
      <c r="BG8" t="s">
        <v>66</v>
      </c>
      <c r="BH8" t="s">
        <v>69</v>
      </c>
      <c r="BI8" t="s">
        <v>71</v>
      </c>
      <c r="BK8" t="s">
        <v>71</v>
      </c>
      <c r="BL8" t="s">
        <v>71</v>
      </c>
      <c r="BN8" t="s">
        <v>71</v>
      </c>
      <c r="BS8" t="s">
        <v>71</v>
      </c>
      <c r="BY8" t="s">
        <v>72</v>
      </c>
      <c r="BZ8" t="s">
        <v>73</v>
      </c>
      <c r="CA8" t="s">
        <v>73</v>
      </c>
    </row>
    <row r="9" spans="1:80" x14ac:dyDescent="0.25">
      <c r="A9">
        <v>45547.900090775467</v>
      </c>
      <c r="B9" t="s">
        <v>94</v>
      </c>
      <c r="C9">
        <v>2000</v>
      </c>
      <c r="D9" t="s">
        <v>59</v>
      </c>
      <c r="E9" t="s">
        <v>95</v>
      </c>
      <c r="F9" t="s">
        <v>76</v>
      </c>
      <c r="G9" t="s">
        <v>96</v>
      </c>
      <c r="H9" t="s">
        <v>83</v>
      </c>
      <c r="I9" t="s">
        <v>89</v>
      </c>
      <c r="J9" t="s">
        <v>90</v>
      </c>
      <c r="K9" s="1" t="s">
        <v>132</v>
      </c>
      <c r="L9" t="s">
        <v>67</v>
      </c>
      <c r="M9">
        <f t="shared" si="1"/>
        <v>-0.5</v>
      </c>
      <c r="N9" t="s">
        <v>66</v>
      </c>
      <c r="O9">
        <f t="shared" si="2"/>
        <v>0</v>
      </c>
      <c r="P9" t="s">
        <v>67</v>
      </c>
      <c r="Q9">
        <f t="shared" si="3"/>
        <v>-0.5</v>
      </c>
      <c r="R9" t="s">
        <v>67</v>
      </c>
      <c r="S9">
        <f t="shared" si="4"/>
        <v>0.5</v>
      </c>
      <c r="T9" t="s">
        <v>69</v>
      </c>
      <c r="U9">
        <f t="shared" si="5"/>
        <v>0.5</v>
      </c>
      <c r="V9" t="s">
        <v>67</v>
      </c>
      <c r="W9">
        <f t="shared" si="6"/>
        <v>0.5</v>
      </c>
      <c r="X9" t="s">
        <v>66</v>
      </c>
      <c r="Y9">
        <f t="shared" si="7"/>
        <v>0</v>
      </c>
      <c r="Z9" t="s">
        <v>69</v>
      </c>
      <c r="AA9">
        <f t="shared" si="8"/>
        <v>-0.5</v>
      </c>
      <c r="AB9" s="2">
        <f t="shared" si="9"/>
        <v>0</v>
      </c>
      <c r="AC9" s="2">
        <f t="shared" si="0"/>
        <v>0</v>
      </c>
      <c r="AD9" t="s">
        <v>69</v>
      </c>
      <c r="AE9">
        <f t="shared" si="10"/>
        <v>-0.5</v>
      </c>
      <c r="AF9" t="s">
        <v>67</v>
      </c>
      <c r="AG9">
        <f t="shared" si="11"/>
        <v>-0.5</v>
      </c>
      <c r="AH9" t="s">
        <v>66</v>
      </c>
      <c r="AI9">
        <f t="shared" si="12"/>
        <v>0</v>
      </c>
      <c r="AJ9" t="s">
        <v>65</v>
      </c>
      <c r="AK9">
        <f t="shared" si="13"/>
        <v>0</v>
      </c>
      <c r="AL9" t="s">
        <v>68</v>
      </c>
      <c r="AM9">
        <f t="shared" si="14"/>
        <v>-1</v>
      </c>
      <c r="AN9" t="s">
        <v>65</v>
      </c>
      <c r="AO9">
        <f t="shared" si="15"/>
        <v>0</v>
      </c>
      <c r="AP9" t="s">
        <v>67</v>
      </c>
      <c r="AQ9">
        <f t="shared" si="16"/>
        <v>-0.5</v>
      </c>
      <c r="AR9" t="s">
        <v>68</v>
      </c>
      <c r="AS9">
        <f t="shared" si="17"/>
        <v>1</v>
      </c>
      <c r="AT9" t="s">
        <v>69</v>
      </c>
      <c r="AU9">
        <f t="shared" si="18"/>
        <v>0.5</v>
      </c>
      <c r="AV9" s="2">
        <f t="shared" si="19"/>
        <v>-1</v>
      </c>
      <c r="AW9" s="1" t="s">
        <v>132</v>
      </c>
      <c r="AX9" t="s">
        <v>65</v>
      </c>
      <c r="AY9" t="s">
        <v>66</v>
      </c>
      <c r="AZ9" t="s">
        <v>66</v>
      </c>
      <c r="BA9" t="s">
        <v>67</v>
      </c>
      <c r="BB9" t="s">
        <v>67</v>
      </c>
      <c r="BC9" t="s">
        <v>65</v>
      </c>
      <c r="BD9" t="s">
        <v>65</v>
      </c>
      <c r="BE9" t="s">
        <v>67</v>
      </c>
      <c r="BF9" t="s">
        <v>69</v>
      </c>
      <c r="BG9" t="s">
        <v>68</v>
      </c>
      <c r="BH9" t="s">
        <v>67</v>
      </c>
      <c r="BK9" t="s">
        <v>71</v>
      </c>
      <c r="BW9" t="s">
        <v>71</v>
      </c>
      <c r="BY9" t="s">
        <v>97</v>
      </c>
      <c r="BZ9" t="s">
        <v>97</v>
      </c>
      <c r="CA9" t="s">
        <v>98</v>
      </c>
    </row>
    <row r="10" spans="1:80" x14ac:dyDescent="0.25">
      <c r="A10">
        <v>45547.900143368053</v>
      </c>
      <c r="B10" t="s">
        <v>99</v>
      </c>
      <c r="C10">
        <v>2002</v>
      </c>
      <c r="D10" t="s">
        <v>75</v>
      </c>
      <c r="E10" t="s">
        <v>60</v>
      </c>
      <c r="F10" t="s">
        <v>61</v>
      </c>
      <c r="G10" t="s">
        <v>61</v>
      </c>
      <c r="H10" t="s">
        <v>83</v>
      </c>
      <c r="I10" t="s">
        <v>63</v>
      </c>
      <c r="J10" t="s">
        <v>90</v>
      </c>
      <c r="K10" s="1" t="s">
        <v>132</v>
      </c>
      <c r="L10" t="s">
        <v>67</v>
      </c>
      <c r="M10">
        <f t="shared" si="1"/>
        <v>-0.5</v>
      </c>
      <c r="N10" t="s">
        <v>69</v>
      </c>
      <c r="O10">
        <f t="shared" si="2"/>
        <v>-0.5</v>
      </c>
      <c r="P10" t="s">
        <v>68</v>
      </c>
      <c r="Q10">
        <f t="shared" si="3"/>
        <v>-1</v>
      </c>
      <c r="R10" t="s">
        <v>65</v>
      </c>
      <c r="S10">
        <f t="shared" si="4"/>
        <v>0</v>
      </c>
      <c r="T10" t="s">
        <v>66</v>
      </c>
      <c r="U10">
        <f t="shared" si="5"/>
        <v>0</v>
      </c>
      <c r="V10" t="s">
        <v>65</v>
      </c>
      <c r="W10">
        <f t="shared" si="6"/>
        <v>0</v>
      </c>
      <c r="X10" t="s">
        <v>69</v>
      </c>
      <c r="Y10">
        <f t="shared" si="7"/>
        <v>-0.5</v>
      </c>
      <c r="Z10" t="s">
        <v>70</v>
      </c>
      <c r="AA10">
        <f t="shared" si="8"/>
        <v>-1</v>
      </c>
      <c r="AB10" s="2">
        <f t="shared" si="9"/>
        <v>-3.5</v>
      </c>
      <c r="AC10" s="2">
        <f t="shared" si="0"/>
        <v>-3.9375</v>
      </c>
      <c r="AD10" t="s">
        <v>70</v>
      </c>
      <c r="AE10">
        <f t="shared" si="10"/>
        <v>-1</v>
      </c>
      <c r="AF10" t="s">
        <v>67</v>
      </c>
      <c r="AG10">
        <f t="shared" si="11"/>
        <v>-0.5</v>
      </c>
      <c r="AH10" t="s">
        <v>66</v>
      </c>
      <c r="AI10">
        <f t="shared" si="12"/>
        <v>0</v>
      </c>
      <c r="AJ10" t="s">
        <v>70</v>
      </c>
      <c r="AK10">
        <f t="shared" si="13"/>
        <v>-1</v>
      </c>
      <c r="AL10" t="s">
        <v>68</v>
      </c>
      <c r="AM10">
        <f t="shared" si="14"/>
        <v>-1</v>
      </c>
      <c r="AN10" t="s">
        <v>67</v>
      </c>
      <c r="AO10">
        <f t="shared" si="15"/>
        <v>-0.5</v>
      </c>
      <c r="AP10" t="s">
        <v>69</v>
      </c>
      <c r="AQ10">
        <f t="shared" si="16"/>
        <v>0.5</v>
      </c>
      <c r="AR10" t="s">
        <v>65</v>
      </c>
      <c r="AS10">
        <f t="shared" si="17"/>
        <v>0</v>
      </c>
      <c r="AT10" t="s">
        <v>70</v>
      </c>
      <c r="AU10">
        <f t="shared" si="18"/>
        <v>1</v>
      </c>
      <c r="AV10" s="2">
        <f t="shared" si="19"/>
        <v>-2.5</v>
      </c>
      <c r="AW10" s="1" t="s">
        <v>132</v>
      </c>
      <c r="AX10" t="s">
        <v>66</v>
      </c>
      <c r="AY10" t="s">
        <v>65</v>
      </c>
      <c r="AZ10" t="s">
        <v>65</v>
      </c>
      <c r="BA10" t="s">
        <v>67</v>
      </c>
      <c r="BB10" t="s">
        <v>65</v>
      </c>
      <c r="BC10" t="s">
        <v>66</v>
      </c>
      <c r="BD10" t="s">
        <v>66</v>
      </c>
      <c r="BE10" t="s">
        <v>66</v>
      </c>
      <c r="BF10" t="s">
        <v>69</v>
      </c>
      <c r="BG10" t="s">
        <v>68</v>
      </c>
      <c r="BH10" t="s">
        <v>70</v>
      </c>
      <c r="BK10" t="s">
        <v>71</v>
      </c>
      <c r="BY10" t="s">
        <v>73</v>
      </c>
      <c r="BZ10" t="s">
        <v>73</v>
      </c>
      <c r="CA10" t="s">
        <v>73</v>
      </c>
    </row>
    <row r="11" spans="1:80" x14ac:dyDescent="0.25">
      <c r="A11">
        <v>45547.900196527778</v>
      </c>
      <c r="B11" t="s">
        <v>100</v>
      </c>
      <c r="C11">
        <v>2000</v>
      </c>
      <c r="D11" t="s">
        <v>59</v>
      </c>
      <c r="E11" t="s">
        <v>95</v>
      </c>
      <c r="F11" t="s">
        <v>96</v>
      </c>
      <c r="G11" t="s">
        <v>76</v>
      </c>
      <c r="H11" t="s">
        <v>83</v>
      </c>
      <c r="I11" t="s">
        <v>63</v>
      </c>
      <c r="J11" t="s">
        <v>90</v>
      </c>
      <c r="K11" s="1" t="s">
        <v>132</v>
      </c>
      <c r="L11" t="s">
        <v>70</v>
      </c>
      <c r="M11">
        <f t="shared" si="1"/>
        <v>1</v>
      </c>
      <c r="N11" t="s">
        <v>70</v>
      </c>
      <c r="O11">
        <f t="shared" si="2"/>
        <v>-1</v>
      </c>
      <c r="P11" t="s">
        <v>68</v>
      </c>
      <c r="Q11">
        <f t="shared" si="3"/>
        <v>-1</v>
      </c>
      <c r="R11" t="s">
        <v>70</v>
      </c>
      <c r="S11">
        <f t="shared" si="4"/>
        <v>-1</v>
      </c>
      <c r="T11" t="s">
        <v>68</v>
      </c>
      <c r="U11">
        <f t="shared" si="5"/>
        <v>-1</v>
      </c>
      <c r="V11" t="s">
        <v>69</v>
      </c>
      <c r="W11">
        <f t="shared" si="6"/>
        <v>-0.5</v>
      </c>
      <c r="X11" t="s">
        <v>65</v>
      </c>
      <c r="Y11">
        <f t="shared" si="7"/>
        <v>0</v>
      </c>
      <c r="Z11" t="s">
        <v>70</v>
      </c>
      <c r="AA11">
        <f t="shared" si="8"/>
        <v>-1</v>
      </c>
      <c r="AB11" s="2">
        <f t="shared" si="9"/>
        <v>-4.5</v>
      </c>
      <c r="AC11" s="2">
        <f t="shared" si="0"/>
        <v>-5.0625</v>
      </c>
      <c r="AD11" t="s">
        <v>69</v>
      </c>
      <c r="AE11">
        <f t="shared" si="10"/>
        <v>-0.5</v>
      </c>
      <c r="AF11" t="s">
        <v>70</v>
      </c>
      <c r="AG11">
        <f t="shared" si="11"/>
        <v>1</v>
      </c>
      <c r="AH11" t="s">
        <v>70</v>
      </c>
      <c r="AI11">
        <f t="shared" si="12"/>
        <v>-1</v>
      </c>
      <c r="AJ11" t="s">
        <v>70</v>
      </c>
      <c r="AK11">
        <f t="shared" si="13"/>
        <v>-1</v>
      </c>
      <c r="AL11" t="s">
        <v>68</v>
      </c>
      <c r="AM11">
        <f t="shared" si="14"/>
        <v>-1</v>
      </c>
      <c r="AN11" t="s">
        <v>68</v>
      </c>
      <c r="AO11">
        <f t="shared" si="15"/>
        <v>-1</v>
      </c>
      <c r="AP11" t="s">
        <v>68</v>
      </c>
      <c r="AQ11">
        <f t="shared" si="16"/>
        <v>-1</v>
      </c>
      <c r="AR11" t="s">
        <v>70</v>
      </c>
      <c r="AS11">
        <f t="shared" si="17"/>
        <v>-1</v>
      </c>
      <c r="AT11" t="s">
        <v>70</v>
      </c>
      <c r="AU11">
        <f t="shared" si="18"/>
        <v>1</v>
      </c>
      <c r="AV11" s="2">
        <f t="shared" si="19"/>
        <v>-4.5</v>
      </c>
      <c r="AW11" s="1" t="s">
        <v>132</v>
      </c>
      <c r="AX11" t="s">
        <v>70</v>
      </c>
      <c r="AY11" t="s">
        <v>68</v>
      </c>
      <c r="AZ11" t="s">
        <v>68</v>
      </c>
      <c r="BA11" t="s">
        <v>65</v>
      </c>
      <c r="BB11" t="s">
        <v>65</v>
      </c>
      <c r="BC11" t="s">
        <v>66</v>
      </c>
      <c r="BD11" t="s">
        <v>69</v>
      </c>
      <c r="BE11" t="s">
        <v>70</v>
      </c>
      <c r="BF11" t="s">
        <v>68</v>
      </c>
      <c r="BG11" t="s">
        <v>68</v>
      </c>
      <c r="BH11" t="s">
        <v>70</v>
      </c>
      <c r="BK11" t="s">
        <v>71</v>
      </c>
      <c r="BL11" t="s">
        <v>71</v>
      </c>
      <c r="BQ11" t="s">
        <v>71</v>
      </c>
      <c r="BR11" t="s">
        <v>71</v>
      </c>
      <c r="BV11" t="s">
        <v>71</v>
      </c>
      <c r="BY11" t="s">
        <v>101</v>
      </c>
      <c r="BZ11" t="s">
        <v>79</v>
      </c>
      <c r="CA11" t="s">
        <v>79</v>
      </c>
    </row>
    <row r="12" spans="1:80" x14ac:dyDescent="0.25">
      <c r="A12">
        <v>45547.900220509255</v>
      </c>
      <c r="B12" t="s">
        <v>102</v>
      </c>
      <c r="C12">
        <v>2000</v>
      </c>
      <c r="D12" t="s">
        <v>75</v>
      </c>
      <c r="E12" t="s">
        <v>95</v>
      </c>
      <c r="F12" t="s">
        <v>96</v>
      </c>
      <c r="G12" t="s">
        <v>96</v>
      </c>
      <c r="H12" t="s">
        <v>62</v>
      </c>
      <c r="I12" t="s">
        <v>63</v>
      </c>
      <c r="J12" t="s">
        <v>64</v>
      </c>
      <c r="K12" s="1" t="s">
        <v>132</v>
      </c>
      <c r="L12" t="s">
        <v>65</v>
      </c>
      <c r="M12">
        <f t="shared" si="1"/>
        <v>0</v>
      </c>
      <c r="N12" t="s">
        <v>66</v>
      </c>
      <c r="O12">
        <f t="shared" si="2"/>
        <v>0</v>
      </c>
      <c r="P12" t="s">
        <v>67</v>
      </c>
      <c r="Q12">
        <f t="shared" si="3"/>
        <v>-0.5</v>
      </c>
      <c r="R12" t="s">
        <v>65</v>
      </c>
      <c r="S12">
        <f t="shared" si="4"/>
        <v>0</v>
      </c>
      <c r="T12" t="s">
        <v>65</v>
      </c>
      <c r="U12">
        <f t="shared" si="5"/>
        <v>0</v>
      </c>
      <c r="V12" t="s">
        <v>67</v>
      </c>
      <c r="W12">
        <f t="shared" si="6"/>
        <v>0.5</v>
      </c>
      <c r="X12" t="s">
        <v>66</v>
      </c>
      <c r="Y12">
        <f t="shared" si="7"/>
        <v>0</v>
      </c>
      <c r="Z12" t="s">
        <v>66</v>
      </c>
      <c r="AA12">
        <f t="shared" si="8"/>
        <v>0</v>
      </c>
      <c r="AB12" s="2">
        <f t="shared" si="9"/>
        <v>0</v>
      </c>
      <c r="AC12" s="2">
        <f t="shared" si="0"/>
        <v>0</v>
      </c>
      <c r="AD12" t="s">
        <v>65</v>
      </c>
      <c r="AE12">
        <f t="shared" si="10"/>
        <v>0</v>
      </c>
      <c r="AF12" t="s">
        <v>67</v>
      </c>
      <c r="AG12">
        <f t="shared" si="11"/>
        <v>-0.5</v>
      </c>
      <c r="AH12" t="s">
        <v>70</v>
      </c>
      <c r="AI12">
        <f t="shared" si="12"/>
        <v>-1</v>
      </c>
      <c r="AJ12" t="s">
        <v>70</v>
      </c>
      <c r="AK12">
        <f t="shared" si="13"/>
        <v>-1</v>
      </c>
      <c r="AL12" t="s">
        <v>65</v>
      </c>
      <c r="AM12">
        <f t="shared" si="14"/>
        <v>0</v>
      </c>
      <c r="AN12" t="s">
        <v>66</v>
      </c>
      <c r="AO12">
        <f t="shared" si="15"/>
        <v>0</v>
      </c>
      <c r="AP12" t="s">
        <v>65</v>
      </c>
      <c r="AQ12">
        <f t="shared" si="16"/>
        <v>0</v>
      </c>
      <c r="AR12" t="s">
        <v>67</v>
      </c>
      <c r="AS12">
        <f t="shared" si="17"/>
        <v>0.5</v>
      </c>
      <c r="AT12" t="s">
        <v>69</v>
      </c>
      <c r="AU12">
        <f t="shared" si="18"/>
        <v>0.5</v>
      </c>
      <c r="AV12" s="2">
        <f t="shared" si="19"/>
        <v>-1.5</v>
      </c>
      <c r="AW12" s="1" t="s">
        <v>132</v>
      </c>
      <c r="AX12" t="s">
        <v>65</v>
      </c>
      <c r="AY12" t="s">
        <v>65</v>
      </c>
      <c r="AZ12" t="s">
        <v>69</v>
      </c>
      <c r="BA12" t="s">
        <v>66</v>
      </c>
      <c r="BB12" t="s">
        <v>67</v>
      </c>
      <c r="BC12" t="s">
        <v>66</v>
      </c>
      <c r="BD12" t="s">
        <v>66</v>
      </c>
      <c r="BE12" t="s">
        <v>65</v>
      </c>
      <c r="BF12" t="s">
        <v>69</v>
      </c>
      <c r="BG12" t="s">
        <v>67</v>
      </c>
      <c r="BH12" t="s">
        <v>67</v>
      </c>
      <c r="BK12" t="s">
        <v>71</v>
      </c>
      <c r="BL12" t="s">
        <v>71</v>
      </c>
      <c r="BV12" t="s">
        <v>71</v>
      </c>
      <c r="BY12" t="s">
        <v>103</v>
      </c>
      <c r="BZ12" t="s">
        <v>73</v>
      </c>
      <c r="CA12" t="s">
        <v>73</v>
      </c>
    </row>
    <row r="13" spans="1:80" x14ac:dyDescent="0.25">
      <c r="A13">
        <v>45547.900811840278</v>
      </c>
      <c r="B13" t="s">
        <v>104</v>
      </c>
      <c r="C13">
        <v>2001</v>
      </c>
      <c r="D13" t="s">
        <v>59</v>
      </c>
      <c r="E13" t="s">
        <v>95</v>
      </c>
      <c r="F13" t="s">
        <v>82</v>
      </c>
      <c r="G13" t="s">
        <v>61</v>
      </c>
      <c r="H13" t="s">
        <v>83</v>
      </c>
      <c r="I13" t="s">
        <v>63</v>
      </c>
      <c r="J13" t="s">
        <v>90</v>
      </c>
      <c r="K13" s="1" t="s">
        <v>132</v>
      </c>
      <c r="L13" t="s">
        <v>69</v>
      </c>
      <c r="M13">
        <f t="shared" si="1"/>
        <v>0.5</v>
      </c>
      <c r="N13" t="s">
        <v>65</v>
      </c>
      <c r="O13">
        <f t="shared" si="2"/>
        <v>0</v>
      </c>
      <c r="P13" t="s">
        <v>67</v>
      </c>
      <c r="Q13">
        <f t="shared" si="3"/>
        <v>-0.5</v>
      </c>
      <c r="R13" t="s">
        <v>65</v>
      </c>
      <c r="S13">
        <f t="shared" si="4"/>
        <v>0</v>
      </c>
      <c r="T13" t="s">
        <v>65</v>
      </c>
      <c r="U13">
        <f t="shared" si="5"/>
        <v>0</v>
      </c>
      <c r="V13" t="s">
        <v>65</v>
      </c>
      <c r="W13">
        <f t="shared" si="6"/>
        <v>0</v>
      </c>
      <c r="X13" t="s">
        <v>67</v>
      </c>
      <c r="Y13">
        <f t="shared" si="7"/>
        <v>0.5</v>
      </c>
      <c r="Z13" t="s">
        <v>85</v>
      </c>
      <c r="AA13">
        <f t="shared" si="8"/>
        <v>0</v>
      </c>
      <c r="AB13" s="2">
        <f t="shared" si="9"/>
        <v>0.5</v>
      </c>
      <c r="AC13" s="2">
        <f t="shared" si="0"/>
        <v>0.5625</v>
      </c>
      <c r="AD13" t="s">
        <v>65</v>
      </c>
      <c r="AE13">
        <f t="shared" si="10"/>
        <v>0</v>
      </c>
      <c r="AF13" t="s">
        <v>67</v>
      </c>
      <c r="AG13">
        <f t="shared" si="11"/>
        <v>-0.5</v>
      </c>
      <c r="AH13" t="s">
        <v>67</v>
      </c>
      <c r="AI13">
        <f t="shared" si="12"/>
        <v>0.5</v>
      </c>
      <c r="AJ13" t="s">
        <v>69</v>
      </c>
      <c r="AK13">
        <f t="shared" si="13"/>
        <v>-0.5</v>
      </c>
      <c r="AL13" t="s">
        <v>66</v>
      </c>
      <c r="AM13">
        <f t="shared" si="14"/>
        <v>0</v>
      </c>
      <c r="AN13" t="s">
        <v>70</v>
      </c>
      <c r="AO13">
        <f t="shared" si="15"/>
        <v>1</v>
      </c>
      <c r="AP13" t="s">
        <v>65</v>
      </c>
      <c r="AQ13">
        <f t="shared" si="16"/>
        <v>0</v>
      </c>
      <c r="AR13" t="s">
        <v>65</v>
      </c>
      <c r="AS13">
        <f t="shared" si="17"/>
        <v>0</v>
      </c>
      <c r="AT13" t="s">
        <v>70</v>
      </c>
      <c r="AU13">
        <f t="shared" si="18"/>
        <v>1</v>
      </c>
      <c r="AV13" s="2">
        <f t="shared" si="19"/>
        <v>1.5</v>
      </c>
      <c r="AW13" s="1" t="s">
        <v>132</v>
      </c>
      <c r="AX13" t="s">
        <v>65</v>
      </c>
      <c r="AY13" t="s">
        <v>65</v>
      </c>
      <c r="AZ13" t="s">
        <v>66</v>
      </c>
      <c r="BA13" t="s">
        <v>67</v>
      </c>
      <c r="BB13" t="s">
        <v>66</v>
      </c>
      <c r="BC13" t="s">
        <v>66</v>
      </c>
      <c r="BD13" t="s">
        <v>70</v>
      </c>
      <c r="BE13" t="s">
        <v>70</v>
      </c>
      <c r="BF13" t="s">
        <v>65</v>
      </c>
      <c r="BG13" t="s">
        <v>68</v>
      </c>
      <c r="BH13" t="s">
        <v>65</v>
      </c>
      <c r="BK13" t="s">
        <v>71</v>
      </c>
      <c r="BY13" t="s">
        <v>72</v>
      </c>
      <c r="BZ13" t="s">
        <v>72</v>
      </c>
      <c r="CA13" t="s">
        <v>73</v>
      </c>
    </row>
    <row r="14" spans="1:80" x14ac:dyDescent="0.25">
      <c r="A14">
        <v>45547.900887152777</v>
      </c>
      <c r="B14" t="s">
        <v>105</v>
      </c>
      <c r="C14">
        <v>2003</v>
      </c>
      <c r="D14" t="s">
        <v>59</v>
      </c>
      <c r="E14" t="s">
        <v>95</v>
      </c>
      <c r="F14" t="s">
        <v>76</v>
      </c>
      <c r="G14" t="s">
        <v>82</v>
      </c>
      <c r="H14" t="s">
        <v>62</v>
      </c>
      <c r="I14" t="s">
        <v>63</v>
      </c>
      <c r="J14" t="s">
        <v>77</v>
      </c>
      <c r="K14" s="1" t="s">
        <v>132</v>
      </c>
      <c r="L14" t="s">
        <v>65</v>
      </c>
      <c r="M14">
        <f t="shared" si="1"/>
        <v>0</v>
      </c>
      <c r="N14" t="s">
        <v>68</v>
      </c>
      <c r="O14">
        <f t="shared" si="2"/>
        <v>1</v>
      </c>
      <c r="P14" t="s">
        <v>67</v>
      </c>
      <c r="Q14">
        <f t="shared" si="3"/>
        <v>-0.5</v>
      </c>
      <c r="R14" t="s">
        <v>68</v>
      </c>
      <c r="S14">
        <f t="shared" si="4"/>
        <v>1</v>
      </c>
      <c r="T14" t="s">
        <v>69</v>
      </c>
      <c r="U14">
        <f t="shared" si="5"/>
        <v>0.5</v>
      </c>
      <c r="V14" t="s">
        <v>69</v>
      </c>
      <c r="W14">
        <f t="shared" si="6"/>
        <v>-0.5</v>
      </c>
      <c r="X14" t="s">
        <v>68</v>
      </c>
      <c r="Y14">
        <f t="shared" si="7"/>
        <v>1</v>
      </c>
      <c r="Z14" t="s">
        <v>67</v>
      </c>
      <c r="AA14">
        <f t="shared" si="8"/>
        <v>0.5</v>
      </c>
      <c r="AB14" s="2">
        <f t="shared" si="9"/>
        <v>3</v>
      </c>
      <c r="AC14" s="2">
        <f t="shared" si="0"/>
        <v>3.375</v>
      </c>
      <c r="AD14" t="s">
        <v>65</v>
      </c>
      <c r="AE14">
        <f t="shared" si="10"/>
        <v>0</v>
      </c>
      <c r="AF14" t="s">
        <v>67</v>
      </c>
      <c r="AG14">
        <f t="shared" si="11"/>
        <v>-0.5</v>
      </c>
      <c r="AH14" t="s">
        <v>67</v>
      </c>
      <c r="AI14">
        <f t="shared" si="12"/>
        <v>0.5</v>
      </c>
      <c r="AJ14" t="s">
        <v>67</v>
      </c>
      <c r="AK14">
        <f t="shared" si="13"/>
        <v>0.5</v>
      </c>
      <c r="AL14" t="s">
        <v>65</v>
      </c>
      <c r="AM14">
        <f t="shared" si="14"/>
        <v>0</v>
      </c>
      <c r="AN14" t="s">
        <v>70</v>
      </c>
      <c r="AO14">
        <f t="shared" si="15"/>
        <v>1</v>
      </c>
      <c r="AP14" t="s">
        <v>67</v>
      </c>
      <c r="AQ14">
        <f t="shared" si="16"/>
        <v>-0.5</v>
      </c>
      <c r="AR14" t="s">
        <v>68</v>
      </c>
      <c r="AS14">
        <f t="shared" si="17"/>
        <v>1</v>
      </c>
      <c r="AT14" t="s">
        <v>67</v>
      </c>
      <c r="AU14">
        <f t="shared" si="18"/>
        <v>-0.5</v>
      </c>
      <c r="AV14" s="2">
        <f t="shared" si="19"/>
        <v>1.5</v>
      </c>
      <c r="AW14" s="1" t="s">
        <v>132</v>
      </c>
      <c r="AX14" t="s">
        <v>68</v>
      </c>
      <c r="AY14" t="s">
        <v>68</v>
      </c>
      <c r="AZ14" t="s">
        <v>67</v>
      </c>
      <c r="BA14" t="s">
        <v>69</v>
      </c>
      <c r="BB14" t="s">
        <v>69</v>
      </c>
      <c r="BC14" t="s">
        <v>66</v>
      </c>
      <c r="BD14" t="s">
        <v>65</v>
      </c>
      <c r="BE14" t="s">
        <v>67</v>
      </c>
      <c r="BF14" t="s">
        <v>65</v>
      </c>
      <c r="BG14" t="s">
        <v>67</v>
      </c>
      <c r="BH14" t="s">
        <v>67</v>
      </c>
      <c r="BI14" t="s">
        <v>71</v>
      </c>
      <c r="BN14" t="s">
        <v>71</v>
      </c>
      <c r="BS14" t="s">
        <v>71</v>
      </c>
      <c r="BY14" t="s">
        <v>73</v>
      </c>
      <c r="BZ14" t="s">
        <v>73</v>
      </c>
      <c r="CA14" t="s">
        <v>73</v>
      </c>
    </row>
    <row r="15" spans="1:80" x14ac:dyDescent="0.25">
      <c r="A15">
        <v>45547.901088287035</v>
      </c>
      <c r="B15" t="s">
        <v>106</v>
      </c>
      <c r="C15">
        <v>2001</v>
      </c>
      <c r="D15" t="s">
        <v>59</v>
      </c>
      <c r="E15" t="s">
        <v>95</v>
      </c>
      <c r="F15" t="s">
        <v>107</v>
      </c>
      <c r="G15" t="s">
        <v>76</v>
      </c>
      <c r="H15" t="s">
        <v>62</v>
      </c>
      <c r="I15" t="s">
        <v>63</v>
      </c>
      <c r="J15" t="s">
        <v>77</v>
      </c>
      <c r="K15" s="1" t="s">
        <v>132</v>
      </c>
      <c r="L15" t="s">
        <v>65</v>
      </c>
      <c r="M15">
        <f t="shared" si="1"/>
        <v>0</v>
      </c>
      <c r="N15" t="s">
        <v>65</v>
      </c>
      <c r="O15">
        <f t="shared" si="2"/>
        <v>0</v>
      </c>
      <c r="P15" t="s">
        <v>65</v>
      </c>
      <c r="Q15">
        <f t="shared" si="3"/>
        <v>0</v>
      </c>
      <c r="R15" t="s">
        <v>65</v>
      </c>
      <c r="S15">
        <f t="shared" si="4"/>
        <v>0</v>
      </c>
      <c r="T15" t="s">
        <v>65</v>
      </c>
      <c r="U15">
        <f t="shared" si="5"/>
        <v>0</v>
      </c>
      <c r="V15" t="s">
        <v>67</v>
      </c>
      <c r="W15">
        <f t="shared" si="6"/>
        <v>0.5</v>
      </c>
      <c r="X15" t="s">
        <v>65</v>
      </c>
      <c r="Y15">
        <f t="shared" si="7"/>
        <v>0</v>
      </c>
      <c r="Z15" t="s">
        <v>66</v>
      </c>
      <c r="AA15">
        <f t="shared" si="8"/>
        <v>0</v>
      </c>
      <c r="AB15" s="2">
        <f t="shared" si="9"/>
        <v>0.5</v>
      </c>
      <c r="AC15" s="2">
        <f t="shared" si="0"/>
        <v>0.5625</v>
      </c>
      <c r="AD15" t="s">
        <v>66</v>
      </c>
      <c r="AE15">
        <f t="shared" si="10"/>
        <v>0</v>
      </c>
      <c r="AF15" t="s">
        <v>67</v>
      </c>
      <c r="AG15">
        <f t="shared" si="11"/>
        <v>-0.5</v>
      </c>
      <c r="AH15" t="s">
        <v>66</v>
      </c>
      <c r="AI15">
        <f t="shared" si="12"/>
        <v>0</v>
      </c>
      <c r="AJ15" t="s">
        <v>66</v>
      </c>
      <c r="AK15">
        <f t="shared" si="13"/>
        <v>0</v>
      </c>
      <c r="AL15" t="s">
        <v>67</v>
      </c>
      <c r="AM15">
        <f t="shared" si="14"/>
        <v>-0.5</v>
      </c>
      <c r="AN15" t="s">
        <v>70</v>
      </c>
      <c r="AO15">
        <f t="shared" si="15"/>
        <v>1</v>
      </c>
      <c r="AP15" t="s">
        <v>65</v>
      </c>
      <c r="AQ15">
        <f t="shared" si="16"/>
        <v>0</v>
      </c>
      <c r="AR15" t="s">
        <v>67</v>
      </c>
      <c r="AS15">
        <f t="shared" si="17"/>
        <v>0.5</v>
      </c>
      <c r="AT15" t="s">
        <v>70</v>
      </c>
      <c r="AU15">
        <f t="shared" si="18"/>
        <v>1</v>
      </c>
      <c r="AV15" s="2">
        <f t="shared" si="19"/>
        <v>1.5</v>
      </c>
      <c r="AW15" s="1" t="s">
        <v>132</v>
      </c>
      <c r="AX15" t="s">
        <v>67</v>
      </c>
      <c r="AY15" t="s">
        <v>65</v>
      </c>
      <c r="AZ15" t="s">
        <v>69</v>
      </c>
      <c r="BA15" t="s">
        <v>69</v>
      </c>
      <c r="BB15" t="s">
        <v>70</v>
      </c>
      <c r="BC15" t="s">
        <v>70</v>
      </c>
      <c r="BD15" t="s">
        <v>70</v>
      </c>
      <c r="BE15" t="s">
        <v>69</v>
      </c>
      <c r="BF15" t="s">
        <v>67</v>
      </c>
      <c r="BG15" t="s">
        <v>66</v>
      </c>
      <c r="BH15" t="s">
        <v>67</v>
      </c>
      <c r="BP15" t="s">
        <v>71</v>
      </c>
      <c r="BY15" t="s">
        <v>87</v>
      </c>
      <c r="BZ15" t="s">
        <v>98</v>
      </c>
      <c r="CA15" t="s">
        <v>98</v>
      </c>
    </row>
    <row r="16" spans="1:80" x14ac:dyDescent="0.25">
      <c r="A16">
        <v>45547.901113668981</v>
      </c>
      <c r="B16" t="s">
        <v>108</v>
      </c>
      <c r="C16">
        <v>2002</v>
      </c>
      <c r="D16" t="s">
        <v>59</v>
      </c>
      <c r="E16" t="s">
        <v>60</v>
      </c>
      <c r="F16" t="s">
        <v>76</v>
      </c>
      <c r="G16" t="s">
        <v>76</v>
      </c>
      <c r="H16" t="s">
        <v>83</v>
      </c>
      <c r="I16" t="s">
        <v>63</v>
      </c>
      <c r="J16" t="s">
        <v>77</v>
      </c>
      <c r="K16" s="1" t="s">
        <v>132</v>
      </c>
      <c r="L16" t="s">
        <v>69</v>
      </c>
      <c r="M16">
        <f t="shared" si="1"/>
        <v>0.5</v>
      </c>
      <c r="N16" t="s">
        <v>65</v>
      </c>
      <c r="O16">
        <f t="shared" si="2"/>
        <v>0</v>
      </c>
      <c r="P16" t="s">
        <v>67</v>
      </c>
      <c r="Q16">
        <f t="shared" si="3"/>
        <v>-0.5</v>
      </c>
      <c r="R16" t="s">
        <v>68</v>
      </c>
      <c r="S16">
        <f t="shared" si="4"/>
        <v>1</v>
      </c>
      <c r="T16" t="s">
        <v>69</v>
      </c>
      <c r="U16">
        <f t="shared" si="5"/>
        <v>0.5</v>
      </c>
      <c r="V16" t="s">
        <v>67</v>
      </c>
      <c r="W16">
        <f t="shared" si="6"/>
        <v>0.5</v>
      </c>
      <c r="X16" t="s">
        <v>65</v>
      </c>
      <c r="Y16">
        <f t="shared" si="7"/>
        <v>0</v>
      </c>
      <c r="Z16" t="s">
        <v>66</v>
      </c>
      <c r="AA16">
        <f t="shared" si="8"/>
        <v>0</v>
      </c>
      <c r="AB16" s="2">
        <f t="shared" si="9"/>
        <v>2</v>
      </c>
      <c r="AC16" s="2">
        <f t="shared" si="0"/>
        <v>2.25</v>
      </c>
      <c r="AD16" t="s">
        <v>70</v>
      </c>
      <c r="AE16">
        <f t="shared" si="10"/>
        <v>-1</v>
      </c>
      <c r="AF16" t="s">
        <v>67</v>
      </c>
      <c r="AG16">
        <f t="shared" si="11"/>
        <v>-0.5</v>
      </c>
      <c r="AH16" t="s">
        <v>66</v>
      </c>
      <c r="AI16">
        <f t="shared" si="12"/>
        <v>0</v>
      </c>
      <c r="AJ16" t="s">
        <v>65</v>
      </c>
      <c r="AK16">
        <f t="shared" si="13"/>
        <v>0</v>
      </c>
      <c r="AL16" t="s">
        <v>67</v>
      </c>
      <c r="AM16">
        <f t="shared" si="14"/>
        <v>-0.5</v>
      </c>
      <c r="AN16" t="s">
        <v>70</v>
      </c>
      <c r="AO16">
        <f t="shared" si="15"/>
        <v>1</v>
      </c>
      <c r="AP16" t="s">
        <v>69</v>
      </c>
      <c r="AQ16">
        <f t="shared" si="16"/>
        <v>0.5</v>
      </c>
      <c r="AR16" t="s">
        <v>67</v>
      </c>
      <c r="AS16">
        <f t="shared" si="17"/>
        <v>0.5</v>
      </c>
      <c r="AT16" t="s">
        <v>66</v>
      </c>
      <c r="AU16">
        <f t="shared" si="18"/>
        <v>0</v>
      </c>
      <c r="AV16" s="2">
        <f t="shared" si="19"/>
        <v>0</v>
      </c>
      <c r="AW16" s="1" t="s">
        <v>132</v>
      </c>
      <c r="AX16" t="s">
        <v>67</v>
      </c>
      <c r="AY16" t="s">
        <v>67</v>
      </c>
      <c r="AZ16" t="s">
        <v>67</v>
      </c>
      <c r="BA16" t="s">
        <v>67</v>
      </c>
      <c r="BB16" t="s">
        <v>65</v>
      </c>
      <c r="BC16" t="s">
        <v>66</v>
      </c>
      <c r="BD16" t="s">
        <v>66</v>
      </c>
      <c r="BE16" t="s">
        <v>65</v>
      </c>
      <c r="BF16" t="s">
        <v>67</v>
      </c>
      <c r="BG16" t="s">
        <v>67</v>
      </c>
      <c r="BH16" t="s">
        <v>67</v>
      </c>
      <c r="BI16" t="s">
        <v>71</v>
      </c>
      <c r="BN16" t="s">
        <v>71</v>
      </c>
      <c r="BY16" t="s">
        <v>98</v>
      </c>
      <c r="BZ16" t="s">
        <v>98</v>
      </c>
      <c r="CA16" t="s">
        <v>73</v>
      </c>
    </row>
    <row r="17" spans="1:79" x14ac:dyDescent="0.25">
      <c r="A17">
        <v>45547.901809155097</v>
      </c>
      <c r="B17" t="s">
        <v>109</v>
      </c>
      <c r="C17">
        <v>2002</v>
      </c>
      <c r="D17" t="s">
        <v>59</v>
      </c>
      <c r="E17" t="s">
        <v>60</v>
      </c>
      <c r="F17" t="s">
        <v>76</v>
      </c>
      <c r="G17" t="s">
        <v>76</v>
      </c>
      <c r="H17" t="s">
        <v>83</v>
      </c>
      <c r="I17" t="s">
        <v>63</v>
      </c>
      <c r="J17" t="s">
        <v>77</v>
      </c>
      <c r="K17" s="1" t="s">
        <v>132</v>
      </c>
      <c r="L17" t="s">
        <v>65</v>
      </c>
      <c r="M17">
        <f t="shared" si="1"/>
        <v>0</v>
      </c>
      <c r="N17" t="s">
        <v>65</v>
      </c>
      <c r="O17">
        <f t="shared" si="2"/>
        <v>0</v>
      </c>
      <c r="P17" t="s">
        <v>68</v>
      </c>
      <c r="Q17">
        <f t="shared" si="3"/>
        <v>-1</v>
      </c>
      <c r="R17" t="s">
        <v>67</v>
      </c>
      <c r="S17">
        <f t="shared" si="4"/>
        <v>0.5</v>
      </c>
      <c r="T17" t="s">
        <v>67</v>
      </c>
      <c r="U17">
        <f t="shared" si="5"/>
        <v>-0.5</v>
      </c>
      <c r="V17" t="s">
        <v>65</v>
      </c>
      <c r="W17">
        <f t="shared" si="6"/>
        <v>0</v>
      </c>
      <c r="X17" t="s">
        <v>65</v>
      </c>
      <c r="Y17">
        <f t="shared" si="7"/>
        <v>0</v>
      </c>
      <c r="Z17" t="s">
        <v>66</v>
      </c>
      <c r="AA17">
        <f t="shared" si="8"/>
        <v>0</v>
      </c>
      <c r="AB17" s="2">
        <f t="shared" si="9"/>
        <v>-1</v>
      </c>
      <c r="AC17" s="2">
        <f t="shared" si="0"/>
        <v>-1.125</v>
      </c>
      <c r="AD17" t="s">
        <v>69</v>
      </c>
      <c r="AE17">
        <f t="shared" si="10"/>
        <v>-0.5</v>
      </c>
      <c r="AF17" t="s">
        <v>69</v>
      </c>
      <c r="AG17">
        <f t="shared" si="11"/>
        <v>0.5</v>
      </c>
      <c r="AH17" t="s">
        <v>65</v>
      </c>
      <c r="AI17">
        <f t="shared" si="12"/>
        <v>0</v>
      </c>
      <c r="AJ17" t="s">
        <v>65</v>
      </c>
      <c r="AK17">
        <f t="shared" si="13"/>
        <v>0</v>
      </c>
      <c r="AL17" t="s">
        <v>66</v>
      </c>
      <c r="AM17">
        <f t="shared" si="14"/>
        <v>0</v>
      </c>
      <c r="AN17" t="s">
        <v>66</v>
      </c>
      <c r="AO17">
        <f t="shared" si="15"/>
        <v>0</v>
      </c>
      <c r="AP17" t="s">
        <v>66</v>
      </c>
      <c r="AQ17">
        <f t="shared" si="16"/>
        <v>0</v>
      </c>
      <c r="AR17" t="s">
        <v>65</v>
      </c>
      <c r="AS17">
        <f t="shared" si="17"/>
        <v>0</v>
      </c>
      <c r="AT17" t="s">
        <v>70</v>
      </c>
      <c r="AU17">
        <f t="shared" si="18"/>
        <v>1</v>
      </c>
      <c r="AV17" s="2">
        <f t="shared" si="19"/>
        <v>1</v>
      </c>
      <c r="AW17" s="1" t="s">
        <v>132</v>
      </c>
      <c r="AX17" t="s">
        <v>66</v>
      </c>
      <c r="AY17" t="s">
        <v>67</v>
      </c>
      <c r="AZ17" t="s">
        <v>70</v>
      </c>
      <c r="BA17" t="s">
        <v>70</v>
      </c>
      <c r="BB17" t="s">
        <v>70</v>
      </c>
      <c r="BC17" t="s">
        <v>65</v>
      </c>
      <c r="BD17" t="s">
        <v>65</v>
      </c>
      <c r="BE17" t="s">
        <v>65</v>
      </c>
      <c r="BF17" t="s">
        <v>70</v>
      </c>
      <c r="BG17" t="s">
        <v>70</v>
      </c>
      <c r="BH17" t="s">
        <v>69</v>
      </c>
      <c r="BM17" t="s">
        <v>71</v>
      </c>
      <c r="BY17" t="s">
        <v>73</v>
      </c>
      <c r="BZ17" t="s">
        <v>73</v>
      </c>
      <c r="CA17" t="s">
        <v>73</v>
      </c>
    </row>
    <row r="18" spans="1:79" x14ac:dyDescent="0.25">
      <c r="A18">
        <v>45547.902385891204</v>
      </c>
      <c r="B18" t="s">
        <v>110</v>
      </c>
      <c r="C18">
        <v>2000</v>
      </c>
      <c r="D18" t="s">
        <v>59</v>
      </c>
      <c r="E18" t="s">
        <v>60</v>
      </c>
      <c r="F18" t="s">
        <v>107</v>
      </c>
      <c r="G18" t="s">
        <v>82</v>
      </c>
      <c r="H18" t="s">
        <v>62</v>
      </c>
      <c r="I18" t="s">
        <v>63</v>
      </c>
      <c r="J18" t="s">
        <v>64</v>
      </c>
      <c r="K18" s="1" t="s">
        <v>132</v>
      </c>
      <c r="L18" t="s">
        <v>70</v>
      </c>
      <c r="M18">
        <f t="shared" si="1"/>
        <v>1</v>
      </c>
      <c r="N18" t="s">
        <v>65</v>
      </c>
      <c r="O18">
        <f t="shared" si="2"/>
        <v>0</v>
      </c>
      <c r="P18" t="s">
        <v>67</v>
      </c>
      <c r="Q18">
        <f t="shared" si="3"/>
        <v>-0.5</v>
      </c>
      <c r="R18" t="s">
        <v>67</v>
      </c>
      <c r="S18">
        <f t="shared" si="4"/>
        <v>0.5</v>
      </c>
      <c r="T18" t="s">
        <v>65</v>
      </c>
      <c r="U18">
        <f t="shared" si="5"/>
        <v>0</v>
      </c>
      <c r="V18" t="s">
        <v>68</v>
      </c>
      <c r="W18">
        <f t="shared" si="6"/>
        <v>1</v>
      </c>
      <c r="X18" t="s">
        <v>67</v>
      </c>
      <c r="Y18">
        <f t="shared" si="7"/>
        <v>0.5</v>
      </c>
      <c r="Z18" t="s">
        <v>70</v>
      </c>
      <c r="AA18">
        <f t="shared" si="8"/>
        <v>-1</v>
      </c>
      <c r="AB18" s="2">
        <f t="shared" si="9"/>
        <v>1.5</v>
      </c>
      <c r="AC18" s="2">
        <f t="shared" si="0"/>
        <v>1.6875</v>
      </c>
      <c r="AD18" t="s">
        <v>69</v>
      </c>
      <c r="AE18">
        <f t="shared" si="10"/>
        <v>-0.5</v>
      </c>
      <c r="AF18" t="s">
        <v>68</v>
      </c>
      <c r="AG18">
        <f t="shared" si="11"/>
        <v>-1</v>
      </c>
      <c r="AH18" t="s">
        <v>69</v>
      </c>
      <c r="AI18">
        <f t="shared" si="12"/>
        <v>-0.5</v>
      </c>
      <c r="AJ18" t="s">
        <v>70</v>
      </c>
      <c r="AK18">
        <f t="shared" si="13"/>
        <v>-1</v>
      </c>
      <c r="AL18" t="s">
        <v>69</v>
      </c>
      <c r="AM18">
        <f t="shared" si="14"/>
        <v>0.5</v>
      </c>
      <c r="AN18" t="s">
        <v>69</v>
      </c>
      <c r="AO18">
        <f t="shared" si="15"/>
        <v>0.5</v>
      </c>
      <c r="AP18" t="s">
        <v>65</v>
      </c>
      <c r="AQ18">
        <f t="shared" si="16"/>
        <v>0</v>
      </c>
      <c r="AR18" t="s">
        <v>68</v>
      </c>
      <c r="AS18">
        <f t="shared" si="17"/>
        <v>1</v>
      </c>
      <c r="AT18" t="s">
        <v>69</v>
      </c>
      <c r="AU18">
        <f t="shared" si="18"/>
        <v>0.5</v>
      </c>
      <c r="AV18" s="2">
        <f t="shared" si="19"/>
        <v>-0.5</v>
      </c>
      <c r="AW18" s="1" t="s">
        <v>132</v>
      </c>
      <c r="AX18" t="s">
        <v>67</v>
      </c>
      <c r="AY18" t="s">
        <v>65</v>
      </c>
      <c r="AZ18" t="s">
        <v>70</v>
      </c>
      <c r="BA18" t="s">
        <v>70</v>
      </c>
      <c r="BB18" t="s">
        <v>65</v>
      </c>
      <c r="BC18" t="s">
        <v>70</v>
      </c>
      <c r="BD18" t="s">
        <v>70</v>
      </c>
      <c r="BE18" t="s">
        <v>65</v>
      </c>
      <c r="BF18" t="s">
        <v>68</v>
      </c>
      <c r="BG18" t="s">
        <v>68</v>
      </c>
      <c r="BH18" t="s">
        <v>69</v>
      </c>
      <c r="BI18" t="s">
        <v>71</v>
      </c>
      <c r="BY18" t="s">
        <v>73</v>
      </c>
      <c r="BZ18" t="s">
        <v>73</v>
      </c>
      <c r="CA18" t="s">
        <v>73</v>
      </c>
    </row>
    <row r="19" spans="1:79" x14ac:dyDescent="0.25">
      <c r="A19">
        <v>45547.902460983794</v>
      </c>
      <c r="B19" t="s">
        <v>111</v>
      </c>
      <c r="C19">
        <v>2000</v>
      </c>
      <c r="D19" t="s">
        <v>75</v>
      </c>
      <c r="E19" t="s">
        <v>95</v>
      </c>
      <c r="F19" t="s">
        <v>82</v>
      </c>
      <c r="G19" t="s">
        <v>112</v>
      </c>
      <c r="H19" t="s">
        <v>113</v>
      </c>
      <c r="I19" t="s">
        <v>89</v>
      </c>
      <c r="J19" t="s">
        <v>64</v>
      </c>
      <c r="K19" s="1" t="s">
        <v>132</v>
      </c>
      <c r="L19" t="s">
        <v>69</v>
      </c>
      <c r="M19">
        <f t="shared" si="1"/>
        <v>0.5</v>
      </c>
      <c r="N19" t="s">
        <v>67</v>
      </c>
      <c r="O19">
        <f t="shared" si="2"/>
        <v>0.5</v>
      </c>
      <c r="P19" t="s">
        <v>67</v>
      </c>
      <c r="Q19">
        <f t="shared" si="3"/>
        <v>-0.5</v>
      </c>
      <c r="R19" t="s">
        <v>67</v>
      </c>
      <c r="S19">
        <f t="shared" si="4"/>
        <v>0.5</v>
      </c>
      <c r="T19" t="s">
        <v>69</v>
      </c>
      <c r="U19">
        <f t="shared" si="5"/>
        <v>0.5</v>
      </c>
      <c r="V19" t="s">
        <v>65</v>
      </c>
      <c r="W19">
        <f t="shared" si="6"/>
        <v>0</v>
      </c>
      <c r="X19" t="s">
        <v>68</v>
      </c>
      <c r="Y19">
        <f t="shared" si="7"/>
        <v>1</v>
      </c>
      <c r="Z19" t="s">
        <v>69</v>
      </c>
      <c r="AA19">
        <f t="shared" si="8"/>
        <v>-0.5</v>
      </c>
      <c r="AB19" s="2">
        <f t="shared" si="9"/>
        <v>2</v>
      </c>
      <c r="AC19" s="2">
        <f t="shared" si="0"/>
        <v>2.25</v>
      </c>
      <c r="AD19" t="s">
        <v>65</v>
      </c>
      <c r="AE19">
        <f t="shared" si="10"/>
        <v>0</v>
      </c>
      <c r="AF19" t="s">
        <v>65</v>
      </c>
      <c r="AG19">
        <f t="shared" si="11"/>
        <v>0</v>
      </c>
      <c r="AH19" t="s">
        <v>70</v>
      </c>
      <c r="AI19">
        <f t="shared" si="12"/>
        <v>-1</v>
      </c>
      <c r="AJ19" t="s">
        <v>70</v>
      </c>
      <c r="AK19">
        <f t="shared" si="13"/>
        <v>-1</v>
      </c>
      <c r="AL19" t="s">
        <v>68</v>
      </c>
      <c r="AM19">
        <f t="shared" si="14"/>
        <v>-1</v>
      </c>
      <c r="AN19" t="s">
        <v>69</v>
      </c>
      <c r="AO19">
        <f t="shared" si="15"/>
        <v>0.5</v>
      </c>
      <c r="AP19" t="s">
        <v>65</v>
      </c>
      <c r="AQ19">
        <f t="shared" si="16"/>
        <v>0</v>
      </c>
      <c r="AR19" t="s">
        <v>69</v>
      </c>
      <c r="AS19">
        <f t="shared" si="17"/>
        <v>-0.5</v>
      </c>
      <c r="AT19" t="s">
        <v>69</v>
      </c>
      <c r="AU19">
        <f t="shared" si="18"/>
        <v>0.5</v>
      </c>
      <c r="AV19" s="2">
        <f t="shared" si="19"/>
        <v>-2.5</v>
      </c>
      <c r="AW19" s="1" t="s">
        <v>132</v>
      </c>
      <c r="AX19" t="s">
        <v>67</v>
      </c>
      <c r="AY19" t="s">
        <v>69</v>
      </c>
      <c r="AZ19" t="s">
        <v>66</v>
      </c>
      <c r="BA19" t="s">
        <v>68</v>
      </c>
      <c r="BB19" t="s">
        <v>70</v>
      </c>
      <c r="BC19" t="s">
        <v>70</v>
      </c>
      <c r="BD19" t="s">
        <v>70</v>
      </c>
      <c r="BE19" t="s">
        <v>70</v>
      </c>
      <c r="BF19" t="s">
        <v>66</v>
      </c>
      <c r="BG19" t="s">
        <v>68</v>
      </c>
      <c r="BH19" t="s">
        <v>65</v>
      </c>
      <c r="BI19" t="s">
        <v>71</v>
      </c>
      <c r="BK19" t="s">
        <v>71</v>
      </c>
      <c r="BP19" t="s">
        <v>71</v>
      </c>
      <c r="BV19" t="s">
        <v>71</v>
      </c>
      <c r="BY19" t="s">
        <v>72</v>
      </c>
      <c r="BZ19" t="s">
        <v>72</v>
      </c>
      <c r="CA19" t="s">
        <v>73</v>
      </c>
    </row>
    <row r="20" spans="1:79" x14ac:dyDescent="0.25">
      <c r="A20">
        <v>45547.902482291669</v>
      </c>
      <c r="B20" t="s">
        <v>114</v>
      </c>
      <c r="C20">
        <v>2002</v>
      </c>
      <c r="D20" t="s">
        <v>59</v>
      </c>
      <c r="E20" t="s">
        <v>95</v>
      </c>
      <c r="F20" t="s">
        <v>112</v>
      </c>
      <c r="G20" t="s">
        <v>115</v>
      </c>
      <c r="H20" t="s">
        <v>62</v>
      </c>
      <c r="I20" t="s">
        <v>63</v>
      </c>
      <c r="J20" t="s">
        <v>64</v>
      </c>
      <c r="K20" s="1" t="s">
        <v>132</v>
      </c>
      <c r="L20" t="s">
        <v>65</v>
      </c>
      <c r="M20">
        <f t="shared" si="1"/>
        <v>0</v>
      </c>
      <c r="N20" t="s">
        <v>66</v>
      </c>
      <c r="O20">
        <f t="shared" si="2"/>
        <v>0</v>
      </c>
      <c r="P20" t="s">
        <v>65</v>
      </c>
      <c r="Q20">
        <f t="shared" si="3"/>
        <v>0</v>
      </c>
      <c r="R20" t="s">
        <v>67</v>
      </c>
      <c r="S20">
        <f t="shared" si="4"/>
        <v>0.5</v>
      </c>
      <c r="T20" t="s">
        <v>69</v>
      </c>
      <c r="U20">
        <f t="shared" si="5"/>
        <v>0.5</v>
      </c>
      <c r="V20" t="s">
        <v>67</v>
      </c>
      <c r="W20">
        <f t="shared" si="6"/>
        <v>0.5</v>
      </c>
      <c r="X20" t="s">
        <v>68</v>
      </c>
      <c r="Y20">
        <f t="shared" si="7"/>
        <v>1</v>
      </c>
      <c r="Z20" t="s">
        <v>69</v>
      </c>
      <c r="AA20">
        <f t="shared" si="8"/>
        <v>-0.5</v>
      </c>
      <c r="AB20" s="2">
        <f t="shared" si="9"/>
        <v>2</v>
      </c>
      <c r="AC20" s="2">
        <f t="shared" si="0"/>
        <v>2.25</v>
      </c>
      <c r="AD20" t="s">
        <v>66</v>
      </c>
      <c r="AE20">
        <f t="shared" si="10"/>
        <v>0</v>
      </c>
      <c r="AF20" t="s">
        <v>67</v>
      </c>
      <c r="AG20">
        <f t="shared" si="11"/>
        <v>-0.5</v>
      </c>
      <c r="AH20" t="s">
        <v>70</v>
      </c>
      <c r="AI20">
        <f t="shared" si="12"/>
        <v>-1</v>
      </c>
      <c r="AJ20" t="s">
        <v>70</v>
      </c>
      <c r="AK20">
        <f t="shared" si="13"/>
        <v>-1</v>
      </c>
      <c r="AL20" t="s">
        <v>67</v>
      </c>
      <c r="AM20">
        <f t="shared" si="14"/>
        <v>-0.5</v>
      </c>
      <c r="AN20" t="s">
        <v>66</v>
      </c>
      <c r="AO20">
        <f t="shared" si="15"/>
        <v>0</v>
      </c>
      <c r="AP20" t="s">
        <v>66</v>
      </c>
      <c r="AQ20">
        <f t="shared" si="16"/>
        <v>0</v>
      </c>
      <c r="AR20" t="s">
        <v>67</v>
      </c>
      <c r="AS20">
        <f t="shared" si="17"/>
        <v>0.5</v>
      </c>
      <c r="AT20" t="s">
        <v>69</v>
      </c>
      <c r="AU20">
        <f t="shared" si="18"/>
        <v>0.5</v>
      </c>
      <c r="AV20" s="2">
        <f t="shared" si="19"/>
        <v>-2</v>
      </c>
      <c r="AW20" s="1" t="s">
        <v>132</v>
      </c>
      <c r="AX20" t="s">
        <v>67</v>
      </c>
      <c r="AY20" t="s">
        <v>67</v>
      </c>
      <c r="AZ20" t="s">
        <v>66</v>
      </c>
      <c r="BA20" t="s">
        <v>65</v>
      </c>
      <c r="BB20" t="s">
        <v>70</v>
      </c>
      <c r="BC20" t="s">
        <v>70</v>
      </c>
      <c r="BD20" t="s">
        <v>70</v>
      </c>
      <c r="BE20" t="s">
        <v>69</v>
      </c>
      <c r="BF20" t="s">
        <v>67</v>
      </c>
      <c r="BG20" t="s">
        <v>67</v>
      </c>
      <c r="BH20" t="s">
        <v>68</v>
      </c>
      <c r="BK20" t="s">
        <v>71</v>
      </c>
      <c r="BV20" t="s">
        <v>71</v>
      </c>
      <c r="BW20" t="s">
        <v>71</v>
      </c>
      <c r="BY20" t="s">
        <v>103</v>
      </c>
      <c r="BZ20" t="s">
        <v>72</v>
      </c>
      <c r="CA20" t="s">
        <v>73</v>
      </c>
    </row>
    <row r="21" spans="1:79" x14ac:dyDescent="0.25">
      <c r="A21">
        <v>45547.903456527776</v>
      </c>
      <c r="B21" t="s">
        <v>116</v>
      </c>
      <c r="C21">
        <v>1999</v>
      </c>
      <c r="D21" t="s">
        <v>81</v>
      </c>
      <c r="E21" t="s">
        <v>60</v>
      </c>
      <c r="F21" t="s">
        <v>82</v>
      </c>
      <c r="G21" t="s">
        <v>82</v>
      </c>
      <c r="H21" t="s">
        <v>83</v>
      </c>
      <c r="I21" t="s">
        <v>89</v>
      </c>
      <c r="J21" t="s">
        <v>64</v>
      </c>
      <c r="K21" s="1" t="s">
        <v>132</v>
      </c>
      <c r="L21" t="s">
        <v>69</v>
      </c>
      <c r="M21">
        <f t="shared" si="1"/>
        <v>0.5</v>
      </c>
      <c r="N21" t="s">
        <v>65</v>
      </c>
      <c r="O21">
        <f t="shared" si="2"/>
        <v>0</v>
      </c>
      <c r="P21" t="s">
        <v>66</v>
      </c>
      <c r="Q21">
        <f t="shared" si="3"/>
        <v>0</v>
      </c>
      <c r="R21" t="s">
        <v>67</v>
      </c>
      <c r="S21">
        <f t="shared" si="4"/>
        <v>0.5</v>
      </c>
      <c r="T21" t="s">
        <v>65</v>
      </c>
      <c r="U21">
        <f t="shared" si="5"/>
        <v>0</v>
      </c>
      <c r="V21" t="s">
        <v>68</v>
      </c>
      <c r="W21">
        <f t="shared" si="6"/>
        <v>1</v>
      </c>
      <c r="X21" t="s">
        <v>67</v>
      </c>
      <c r="Y21">
        <f t="shared" si="7"/>
        <v>0.5</v>
      </c>
      <c r="Z21" t="s">
        <v>85</v>
      </c>
      <c r="AA21">
        <f t="shared" si="8"/>
        <v>0</v>
      </c>
      <c r="AB21" s="2">
        <f t="shared" si="9"/>
        <v>2.5</v>
      </c>
      <c r="AC21" s="2">
        <f t="shared" si="0"/>
        <v>2.8125</v>
      </c>
      <c r="AD21" t="s">
        <v>70</v>
      </c>
      <c r="AE21">
        <f t="shared" si="10"/>
        <v>-1</v>
      </c>
      <c r="AF21" t="s">
        <v>67</v>
      </c>
      <c r="AG21">
        <f t="shared" si="11"/>
        <v>-0.5</v>
      </c>
      <c r="AH21" t="s">
        <v>65</v>
      </c>
      <c r="AI21">
        <f t="shared" si="12"/>
        <v>0</v>
      </c>
      <c r="AJ21" t="s">
        <v>69</v>
      </c>
      <c r="AK21">
        <f t="shared" si="13"/>
        <v>-0.5</v>
      </c>
      <c r="AL21" t="s">
        <v>65</v>
      </c>
      <c r="AM21">
        <f t="shared" si="14"/>
        <v>0</v>
      </c>
      <c r="AN21" t="s">
        <v>69</v>
      </c>
      <c r="AO21">
        <f t="shared" si="15"/>
        <v>0.5</v>
      </c>
      <c r="AP21" t="s">
        <v>65</v>
      </c>
      <c r="AQ21">
        <f t="shared" si="16"/>
        <v>0</v>
      </c>
      <c r="AR21" t="s">
        <v>68</v>
      </c>
      <c r="AS21">
        <f t="shared" si="17"/>
        <v>1</v>
      </c>
      <c r="AT21" t="s">
        <v>70</v>
      </c>
      <c r="AU21">
        <f t="shared" si="18"/>
        <v>1</v>
      </c>
      <c r="AV21" s="2">
        <f t="shared" si="19"/>
        <v>0.5</v>
      </c>
      <c r="AW21" s="1" t="s">
        <v>132</v>
      </c>
      <c r="AX21" t="s">
        <v>65</v>
      </c>
      <c r="AY21" t="s">
        <v>67</v>
      </c>
      <c r="AZ21" t="s">
        <v>66</v>
      </c>
      <c r="BA21" t="s">
        <v>70</v>
      </c>
      <c r="BB21" t="s">
        <v>70</v>
      </c>
      <c r="BC21" t="s">
        <v>68</v>
      </c>
      <c r="BD21" t="s">
        <v>68</v>
      </c>
      <c r="BE21" t="s">
        <v>68</v>
      </c>
      <c r="BF21" t="s">
        <v>66</v>
      </c>
      <c r="BG21" t="s">
        <v>69</v>
      </c>
      <c r="BH21" t="s">
        <v>69</v>
      </c>
      <c r="BI21" t="s">
        <v>71</v>
      </c>
      <c r="BY21" t="s">
        <v>73</v>
      </c>
      <c r="BZ21" t="s">
        <v>98</v>
      </c>
      <c r="CA21" t="s">
        <v>98</v>
      </c>
    </row>
    <row r="22" spans="1:79" x14ac:dyDescent="0.25">
      <c r="A22">
        <v>45549.732355775464</v>
      </c>
      <c r="B22" t="s">
        <v>117</v>
      </c>
      <c r="C22">
        <v>2002</v>
      </c>
      <c r="D22" t="s">
        <v>59</v>
      </c>
      <c r="E22" t="s">
        <v>60</v>
      </c>
      <c r="F22" t="s">
        <v>76</v>
      </c>
      <c r="G22" t="s">
        <v>76</v>
      </c>
      <c r="H22" t="s">
        <v>62</v>
      </c>
      <c r="I22" t="s">
        <v>63</v>
      </c>
      <c r="J22" t="s">
        <v>90</v>
      </c>
      <c r="K22" s="1" t="s">
        <v>132</v>
      </c>
      <c r="L22" t="s">
        <v>70</v>
      </c>
      <c r="M22">
        <f t="shared" si="1"/>
        <v>1</v>
      </c>
      <c r="N22" t="s">
        <v>65</v>
      </c>
      <c r="O22">
        <f t="shared" si="2"/>
        <v>0</v>
      </c>
      <c r="P22" t="s">
        <v>67</v>
      </c>
      <c r="Q22">
        <f t="shared" si="3"/>
        <v>-0.5</v>
      </c>
      <c r="R22" t="s">
        <v>67</v>
      </c>
      <c r="S22">
        <f t="shared" si="4"/>
        <v>0.5</v>
      </c>
      <c r="T22" t="s">
        <v>66</v>
      </c>
      <c r="U22">
        <f t="shared" si="5"/>
        <v>0</v>
      </c>
      <c r="V22" t="s">
        <v>67</v>
      </c>
      <c r="W22">
        <f t="shared" si="6"/>
        <v>0.5</v>
      </c>
      <c r="X22" t="s">
        <v>68</v>
      </c>
      <c r="Y22">
        <f t="shared" si="7"/>
        <v>1</v>
      </c>
      <c r="Z22" t="s">
        <v>68</v>
      </c>
      <c r="AA22">
        <f t="shared" si="8"/>
        <v>1</v>
      </c>
      <c r="AB22" s="2">
        <f t="shared" si="9"/>
        <v>3.5</v>
      </c>
      <c r="AC22" s="2">
        <f t="shared" si="0"/>
        <v>3.9375</v>
      </c>
      <c r="AD22" t="s">
        <v>66</v>
      </c>
      <c r="AE22">
        <f t="shared" si="10"/>
        <v>0</v>
      </c>
      <c r="AF22" t="s">
        <v>66</v>
      </c>
      <c r="AG22">
        <f t="shared" si="11"/>
        <v>0</v>
      </c>
      <c r="AH22" t="s">
        <v>66</v>
      </c>
      <c r="AI22">
        <f t="shared" si="12"/>
        <v>0</v>
      </c>
      <c r="AJ22" t="s">
        <v>65</v>
      </c>
      <c r="AK22">
        <f t="shared" si="13"/>
        <v>0</v>
      </c>
      <c r="AL22" t="s">
        <v>67</v>
      </c>
      <c r="AM22">
        <f t="shared" si="14"/>
        <v>-0.5</v>
      </c>
      <c r="AN22" t="s">
        <v>69</v>
      </c>
      <c r="AO22">
        <f t="shared" si="15"/>
        <v>0.5</v>
      </c>
      <c r="AP22" t="s">
        <v>68</v>
      </c>
      <c r="AQ22">
        <f t="shared" si="16"/>
        <v>-1</v>
      </c>
      <c r="AR22" t="s">
        <v>68</v>
      </c>
      <c r="AS22">
        <f t="shared" si="17"/>
        <v>1</v>
      </c>
      <c r="AT22" t="s">
        <v>70</v>
      </c>
      <c r="AU22">
        <f t="shared" si="18"/>
        <v>1</v>
      </c>
      <c r="AV22" s="2">
        <f t="shared" si="19"/>
        <v>1</v>
      </c>
      <c r="AW22" s="1" t="s">
        <v>132</v>
      </c>
      <c r="AX22" t="s">
        <v>65</v>
      </c>
      <c r="AY22" t="s">
        <v>67</v>
      </c>
      <c r="AZ22" t="s">
        <v>67</v>
      </c>
      <c r="BA22" t="s">
        <v>69</v>
      </c>
      <c r="BB22" t="s">
        <v>67</v>
      </c>
      <c r="BC22" t="s">
        <v>70</v>
      </c>
      <c r="BD22" t="s">
        <v>70</v>
      </c>
      <c r="BE22" t="s">
        <v>69</v>
      </c>
      <c r="BF22" t="s">
        <v>67</v>
      </c>
      <c r="BG22" t="s">
        <v>65</v>
      </c>
      <c r="BH22" t="s">
        <v>68</v>
      </c>
      <c r="BI22" t="s">
        <v>71</v>
      </c>
      <c r="BP22" t="s">
        <v>71</v>
      </c>
      <c r="BY22" t="s">
        <v>72</v>
      </c>
      <c r="BZ22" t="s">
        <v>72</v>
      </c>
      <c r="CA22" t="s">
        <v>73</v>
      </c>
    </row>
    <row r="23" spans="1:79" x14ac:dyDescent="0.25">
      <c r="A23">
        <v>45551.790654189812</v>
      </c>
      <c r="B23" t="s">
        <v>118</v>
      </c>
      <c r="C23">
        <v>2002</v>
      </c>
      <c r="D23" t="s">
        <v>59</v>
      </c>
      <c r="E23" t="s">
        <v>60</v>
      </c>
      <c r="F23" t="s">
        <v>96</v>
      </c>
      <c r="G23" t="s">
        <v>96</v>
      </c>
      <c r="H23" t="s">
        <v>83</v>
      </c>
      <c r="I23" t="s">
        <v>63</v>
      </c>
      <c r="J23" t="s">
        <v>90</v>
      </c>
      <c r="K23" s="1" t="s">
        <v>132</v>
      </c>
      <c r="L23" t="s">
        <v>69</v>
      </c>
      <c r="M23">
        <f t="shared" si="1"/>
        <v>0.5</v>
      </c>
      <c r="N23" t="s">
        <v>66</v>
      </c>
      <c r="O23">
        <f t="shared" si="2"/>
        <v>0</v>
      </c>
      <c r="P23" t="s">
        <v>68</v>
      </c>
      <c r="Q23">
        <f t="shared" si="3"/>
        <v>-1</v>
      </c>
      <c r="R23" t="s">
        <v>67</v>
      </c>
      <c r="S23">
        <f t="shared" si="4"/>
        <v>0.5</v>
      </c>
      <c r="T23" t="s">
        <v>65</v>
      </c>
      <c r="U23">
        <f t="shared" si="5"/>
        <v>0</v>
      </c>
      <c r="V23" t="s">
        <v>65</v>
      </c>
      <c r="W23">
        <f t="shared" si="6"/>
        <v>0</v>
      </c>
      <c r="X23" t="s">
        <v>66</v>
      </c>
      <c r="Y23">
        <f t="shared" si="7"/>
        <v>0</v>
      </c>
      <c r="Z23" t="s">
        <v>70</v>
      </c>
      <c r="AA23">
        <f t="shared" si="8"/>
        <v>-1</v>
      </c>
      <c r="AB23" s="2">
        <f t="shared" si="9"/>
        <v>-1</v>
      </c>
      <c r="AC23" s="2">
        <f t="shared" si="0"/>
        <v>-1.125</v>
      </c>
      <c r="AD23" t="s">
        <v>65</v>
      </c>
      <c r="AE23">
        <f t="shared" si="10"/>
        <v>0</v>
      </c>
      <c r="AF23" t="s">
        <v>67</v>
      </c>
      <c r="AG23">
        <f t="shared" si="11"/>
        <v>-0.5</v>
      </c>
      <c r="AH23" t="s">
        <v>67</v>
      </c>
      <c r="AI23">
        <f t="shared" si="12"/>
        <v>0.5</v>
      </c>
      <c r="AJ23" t="s">
        <v>68</v>
      </c>
      <c r="AK23">
        <f t="shared" si="13"/>
        <v>1</v>
      </c>
      <c r="AL23" t="s">
        <v>67</v>
      </c>
      <c r="AM23">
        <f t="shared" si="14"/>
        <v>-0.5</v>
      </c>
      <c r="AN23" t="s">
        <v>67</v>
      </c>
      <c r="AO23">
        <f t="shared" si="15"/>
        <v>-0.5</v>
      </c>
      <c r="AP23" t="s">
        <v>68</v>
      </c>
      <c r="AQ23">
        <f t="shared" si="16"/>
        <v>-1</v>
      </c>
      <c r="AR23" t="s">
        <v>67</v>
      </c>
      <c r="AS23">
        <f t="shared" si="17"/>
        <v>0.5</v>
      </c>
      <c r="AT23" t="s">
        <v>69</v>
      </c>
      <c r="AU23">
        <f t="shared" si="18"/>
        <v>0.5</v>
      </c>
      <c r="AV23" s="2">
        <f t="shared" si="19"/>
        <v>0</v>
      </c>
      <c r="AW23" s="1" t="s">
        <v>132</v>
      </c>
      <c r="AX23" t="s">
        <v>67</v>
      </c>
      <c r="AY23" t="s">
        <v>67</v>
      </c>
      <c r="AZ23" t="s">
        <v>65</v>
      </c>
      <c r="BA23" t="s">
        <v>65</v>
      </c>
      <c r="BB23" t="s">
        <v>69</v>
      </c>
      <c r="BC23" t="s">
        <v>65</v>
      </c>
      <c r="BD23" t="s">
        <v>65</v>
      </c>
      <c r="BE23" t="s">
        <v>65</v>
      </c>
      <c r="BF23" t="s">
        <v>69</v>
      </c>
      <c r="BG23" t="s">
        <v>67</v>
      </c>
      <c r="BH23" t="s">
        <v>67</v>
      </c>
      <c r="BM23" t="s">
        <v>71</v>
      </c>
      <c r="BY23" t="s">
        <v>73</v>
      </c>
      <c r="BZ23" t="s">
        <v>72</v>
      </c>
      <c r="CA23" t="s">
        <v>73</v>
      </c>
    </row>
    <row r="24" spans="1:79" x14ac:dyDescent="0.25">
      <c r="A24">
        <v>45553.853533576388</v>
      </c>
      <c r="B24" t="s">
        <v>119</v>
      </c>
      <c r="C24">
        <v>1997</v>
      </c>
      <c r="D24" t="s">
        <v>75</v>
      </c>
      <c r="E24" t="s">
        <v>60</v>
      </c>
      <c r="F24" t="s">
        <v>76</v>
      </c>
      <c r="G24" t="s">
        <v>76</v>
      </c>
      <c r="H24" t="s">
        <v>113</v>
      </c>
      <c r="I24" t="s">
        <v>89</v>
      </c>
      <c r="J24" t="s">
        <v>90</v>
      </c>
      <c r="K24" s="1" t="s">
        <v>132</v>
      </c>
      <c r="L24" t="s">
        <v>65</v>
      </c>
      <c r="M24">
        <f t="shared" si="1"/>
        <v>0</v>
      </c>
      <c r="N24" t="s">
        <v>66</v>
      </c>
      <c r="O24">
        <f t="shared" si="2"/>
        <v>0</v>
      </c>
      <c r="P24" t="s">
        <v>67</v>
      </c>
      <c r="Q24">
        <f t="shared" si="3"/>
        <v>-0.5</v>
      </c>
      <c r="R24" t="s">
        <v>67</v>
      </c>
      <c r="S24">
        <f t="shared" si="4"/>
        <v>0.5</v>
      </c>
      <c r="T24" t="s">
        <v>65</v>
      </c>
      <c r="U24">
        <f t="shared" si="5"/>
        <v>0</v>
      </c>
      <c r="V24" t="s">
        <v>66</v>
      </c>
      <c r="W24">
        <f t="shared" si="6"/>
        <v>0</v>
      </c>
      <c r="X24" t="s">
        <v>66</v>
      </c>
      <c r="Y24">
        <f t="shared" si="7"/>
        <v>0</v>
      </c>
      <c r="Z24" t="s">
        <v>66</v>
      </c>
      <c r="AA24">
        <f t="shared" si="8"/>
        <v>0</v>
      </c>
      <c r="AB24" s="2">
        <f t="shared" si="9"/>
        <v>0</v>
      </c>
      <c r="AC24" s="2">
        <f t="shared" si="0"/>
        <v>0</v>
      </c>
      <c r="AD24" t="s">
        <v>67</v>
      </c>
      <c r="AE24">
        <f t="shared" si="10"/>
        <v>0.5</v>
      </c>
      <c r="AF24" t="s">
        <v>66</v>
      </c>
      <c r="AG24">
        <f t="shared" si="11"/>
        <v>0</v>
      </c>
      <c r="AH24" t="s">
        <v>70</v>
      </c>
      <c r="AI24">
        <f t="shared" si="12"/>
        <v>-1</v>
      </c>
      <c r="AJ24" t="s">
        <v>70</v>
      </c>
      <c r="AK24">
        <f t="shared" si="13"/>
        <v>-1</v>
      </c>
      <c r="AL24" t="s">
        <v>69</v>
      </c>
      <c r="AM24">
        <f t="shared" si="14"/>
        <v>0.5</v>
      </c>
      <c r="AN24" t="s">
        <v>65</v>
      </c>
      <c r="AO24">
        <f t="shared" si="15"/>
        <v>0</v>
      </c>
      <c r="AP24" t="s">
        <v>66</v>
      </c>
      <c r="AQ24">
        <f t="shared" si="16"/>
        <v>0</v>
      </c>
      <c r="AR24" t="s">
        <v>66</v>
      </c>
      <c r="AS24">
        <f t="shared" si="17"/>
        <v>0</v>
      </c>
      <c r="AT24" t="s">
        <v>70</v>
      </c>
      <c r="AU24">
        <f t="shared" si="18"/>
        <v>1</v>
      </c>
      <c r="AV24" s="2">
        <f t="shared" si="19"/>
        <v>0</v>
      </c>
      <c r="AW24" s="1" t="s">
        <v>132</v>
      </c>
      <c r="AX24" t="s">
        <v>70</v>
      </c>
      <c r="AY24" t="s">
        <v>65</v>
      </c>
      <c r="AZ24" t="s">
        <v>65</v>
      </c>
      <c r="BA24" t="s">
        <v>65</v>
      </c>
      <c r="BB24" t="s">
        <v>68</v>
      </c>
      <c r="BC24" t="s">
        <v>70</v>
      </c>
      <c r="BD24" t="s">
        <v>69</v>
      </c>
      <c r="BE24" t="s">
        <v>66</v>
      </c>
      <c r="BF24" t="s">
        <v>70</v>
      </c>
      <c r="BG24" t="s">
        <v>65</v>
      </c>
      <c r="BH24" t="s">
        <v>68</v>
      </c>
      <c r="BN24" t="s">
        <v>71</v>
      </c>
      <c r="BQ24" t="s">
        <v>71</v>
      </c>
      <c r="BY24" t="s">
        <v>79</v>
      </c>
      <c r="BZ24" t="s">
        <v>79</v>
      </c>
      <c r="CA24" t="s">
        <v>79</v>
      </c>
    </row>
    <row r="25" spans="1:79" x14ac:dyDescent="0.25">
      <c r="A25">
        <v>45553.862978541671</v>
      </c>
      <c r="B25" t="s">
        <v>120</v>
      </c>
      <c r="C25">
        <v>2001</v>
      </c>
      <c r="D25" t="s">
        <v>59</v>
      </c>
      <c r="E25" t="s">
        <v>95</v>
      </c>
      <c r="F25" t="s">
        <v>96</v>
      </c>
      <c r="G25" t="s">
        <v>96</v>
      </c>
      <c r="H25" t="s">
        <v>62</v>
      </c>
      <c r="I25" t="s">
        <v>63</v>
      </c>
      <c r="J25" t="s">
        <v>77</v>
      </c>
      <c r="K25" s="1" t="s">
        <v>132</v>
      </c>
      <c r="L25" t="s">
        <v>68</v>
      </c>
      <c r="M25">
        <f t="shared" si="1"/>
        <v>-1</v>
      </c>
      <c r="N25" t="s">
        <v>69</v>
      </c>
      <c r="O25">
        <f t="shared" si="2"/>
        <v>-0.5</v>
      </c>
      <c r="P25" t="s">
        <v>70</v>
      </c>
      <c r="Q25">
        <f t="shared" si="3"/>
        <v>1</v>
      </c>
      <c r="R25" t="s">
        <v>67</v>
      </c>
      <c r="S25">
        <f t="shared" si="4"/>
        <v>0.5</v>
      </c>
      <c r="T25" t="s">
        <v>65</v>
      </c>
      <c r="U25">
        <f t="shared" si="5"/>
        <v>0</v>
      </c>
      <c r="V25" t="s">
        <v>65</v>
      </c>
      <c r="W25">
        <f t="shared" si="6"/>
        <v>0</v>
      </c>
      <c r="X25" t="s">
        <v>68</v>
      </c>
      <c r="Y25">
        <f t="shared" si="7"/>
        <v>1</v>
      </c>
      <c r="Z25" t="s">
        <v>69</v>
      </c>
      <c r="AA25">
        <f t="shared" si="8"/>
        <v>-0.5</v>
      </c>
      <c r="AB25" s="2">
        <f t="shared" si="9"/>
        <v>0.5</v>
      </c>
      <c r="AC25" s="2">
        <f t="shared" si="0"/>
        <v>0.5625</v>
      </c>
      <c r="AD25" t="s">
        <v>70</v>
      </c>
      <c r="AE25">
        <f t="shared" si="10"/>
        <v>-1</v>
      </c>
      <c r="AF25" t="s">
        <v>68</v>
      </c>
      <c r="AG25">
        <f t="shared" si="11"/>
        <v>-1</v>
      </c>
      <c r="AH25" t="s">
        <v>65</v>
      </c>
      <c r="AI25">
        <f t="shared" si="12"/>
        <v>0</v>
      </c>
      <c r="AJ25" t="s">
        <v>70</v>
      </c>
      <c r="AK25">
        <f t="shared" si="13"/>
        <v>-1</v>
      </c>
      <c r="AL25" t="s">
        <v>67</v>
      </c>
      <c r="AM25">
        <f t="shared" si="14"/>
        <v>-0.5</v>
      </c>
      <c r="AN25" t="s">
        <v>70</v>
      </c>
      <c r="AO25">
        <f t="shared" si="15"/>
        <v>1</v>
      </c>
      <c r="AP25" t="s">
        <v>65</v>
      </c>
      <c r="AQ25">
        <f t="shared" si="16"/>
        <v>0</v>
      </c>
      <c r="AR25" t="s">
        <v>68</v>
      </c>
      <c r="AS25">
        <f t="shared" si="17"/>
        <v>1</v>
      </c>
      <c r="AT25" t="s">
        <v>70</v>
      </c>
      <c r="AU25">
        <f t="shared" si="18"/>
        <v>1</v>
      </c>
      <c r="AV25" s="2">
        <f t="shared" si="19"/>
        <v>-0.5</v>
      </c>
      <c r="AW25" s="1" t="s">
        <v>132</v>
      </c>
      <c r="AX25" t="s">
        <v>65</v>
      </c>
      <c r="AY25" t="s">
        <v>65</v>
      </c>
      <c r="AZ25" t="s">
        <v>66</v>
      </c>
      <c r="BA25" t="s">
        <v>65</v>
      </c>
      <c r="BB25" t="s">
        <v>69</v>
      </c>
      <c r="BC25" t="s">
        <v>70</v>
      </c>
      <c r="BD25" t="s">
        <v>70</v>
      </c>
      <c r="BE25" t="s">
        <v>70</v>
      </c>
      <c r="BF25" t="s">
        <v>68</v>
      </c>
      <c r="BG25" t="s">
        <v>67</v>
      </c>
      <c r="BH25" t="s">
        <v>66</v>
      </c>
      <c r="BI25" t="s">
        <v>71</v>
      </c>
      <c r="BS25" t="s">
        <v>71</v>
      </c>
      <c r="BY25" t="s">
        <v>73</v>
      </c>
      <c r="BZ25" t="s">
        <v>73</v>
      </c>
      <c r="CA25" t="s">
        <v>73</v>
      </c>
    </row>
    <row r="26" spans="1:79" x14ac:dyDescent="0.25">
      <c r="A26">
        <v>45553.880205821755</v>
      </c>
      <c r="B26" t="s">
        <v>121</v>
      </c>
      <c r="C26">
        <v>2000</v>
      </c>
      <c r="D26" t="s">
        <v>75</v>
      </c>
      <c r="E26" t="s">
        <v>60</v>
      </c>
      <c r="F26" t="s">
        <v>112</v>
      </c>
      <c r="G26" t="s">
        <v>82</v>
      </c>
      <c r="H26" t="s">
        <v>113</v>
      </c>
      <c r="I26" t="s">
        <v>122</v>
      </c>
      <c r="J26" t="s">
        <v>64</v>
      </c>
      <c r="K26" s="1" t="s">
        <v>132</v>
      </c>
      <c r="L26" t="s">
        <v>67</v>
      </c>
      <c r="M26">
        <f t="shared" si="1"/>
        <v>-0.5</v>
      </c>
      <c r="N26" t="s">
        <v>66</v>
      </c>
      <c r="O26">
        <f t="shared" si="2"/>
        <v>0</v>
      </c>
      <c r="P26" t="s">
        <v>67</v>
      </c>
      <c r="Q26">
        <f t="shared" si="3"/>
        <v>-0.5</v>
      </c>
      <c r="R26" t="s">
        <v>65</v>
      </c>
      <c r="S26">
        <f t="shared" si="4"/>
        <v>0</v>
      </c>
      <c r="T26" t="s">
        <v>67</v>
      </c>
      <c r="U26">
        <f t="shared" si="5"/>
        <v>-0.5</v>
      </c>
      <c r="V26" t="s">
        <v>67</v>
      </c>
      <c r="W26">
        <f t="shared" si="6"/>
        <v>0.5</v>
      </c>
      <c r="X26" t="s">
        <v>66</v>
      </c>
      <c r="Y26">
        <f t="shared" si="7"/>
        <v>0</v>
      </c>
      <c r="Z26" t="s">
        <v>69</v>
      </c>
      <c r="AA26">
        <f t="shared" si="8"/>
        <v>-0.5</v>
      </c>
      <c r="AB26" s="2">
        <f t="shared" si="9"/>
        <v>-1.5</v>
      </c>
      <c r="AC26" s="2">
        <f t="shared" si="0"/>
        <v>-1.6875</v>
      </c>
      <c r="AD26" t="s">
        <v>66</v>
      </c>
      <c r="AE26">
        <f t="shared" si="10"/>
        <v>0</v>
      </c>
      <c r="AF26" t="s">
        <v>67</v>
      </c>
      <c r="AG26">
        <f t="shared" si="11"/>
        <v>-0.5</v>
      </c>
      <c r="AH26" t="s">
        <v>69</v>
      </c>
      <c r="AI26">
        <f t="shared" si="12"/>
        <v>-0.5</v>
      </c>
      <c r="AJ26" t="s">
        <v>69</v>
      </c>
      <c r="AK26">
        <f t="shared" si="13"/>
        <v>-0.5</v>
      </c>
      <c r="AL26" t="s">
        <v>68</v>
      </c>
      <c r="AM26">
        <f t="shared" si="14"/>
        <v>-1</v>
      </c>
      <c r="AN26" t="s">
        <v>69</v>
      </c>
      <c r="AO26">
        <f t="shared" si="15"/>
        <v>0.5</v>
      </c>
      <c r="AP26" t="s">
        <v>67</v>
      </c>
      <c r="AQ26">
        <f t="shared" si="16"/>
        <v>-0.5</v>
      </c>
      <c r="AR26" t="s">
        <v>67</v>
      </c>
      <c r="AS26">
        <f t="shared" si="17"/>
        <v>0.5</v>
      </c>
      <c r="AT26" t="s">
        <v>69</v>
      </c>
      <c r="AU26">
        <f t="shared" si="18"/>
        <v>0.5</v>
      </c>
      <c r="AV26" s="2">
        <f t="shared" si="19"/>
        <v>-1.5</v>
      </c>
      <c r="AW26" s="1" t="s">
        <v>132</v>
      </c>
      <c r="AX26" t="s">
        <v>67</v>
      </c>
      <c r="AY26" t="s">
        <v>67</v>
      </c>
      <c r="AZ26" t="s">
        <v>69</v>
      </c>
      <c r="BA26" t="s">
        <v>66</v>
      </c>
      <c r="BB26" t="s">
        <v>66</v>
      </c>
      <c r="BC26" t="s">
        <v>66</v>
      </c>
      <c r="BD26" t="s">
        <v>66</v>
      </c>
      <c r="BE26" t="s">
        <v>66</v>
      </c>
      <c r="BF26" t="s">
        <v>67</v>
      </c>
      <c r="BG26" t="s">
        <v>67</v>
      </c>
      <c r="BH26" t="s">
        <v>67</v>
      </c>
      <c r="BI26" t="s">
        <v>71</v>
      </c>
      <c r="BJ26" t="s">
        <v>71</v>
      </c>
      <c r="BK26" t="s">
        <v>71</v>
      </c>
      <c r="BL26" t="s">
        <v>71</v>
      </c>
      <c r="BM26" t="s">
        <v>71</v>
      </c>
      <c r="BN26" t="s">
        <v>71</v>
      </c>
      <c r="BO26" t="s">
        <v>71</v>
      </c>
      <c r="BP26" t="s">
        <v>71</v>
      </c>
      <c r="BQ26" t="s">
        <v>71</v>
      </c>
      <c r="BR26" t="s">
        <v>71</v>
      </c>
      <c r="BS26" t="s">
        <v>71</v>
      </c>
      <c r="BT26" t="s">
        <v>71</v>
      </c>
      <c r="BU26" t="s">
        <v>71</v>
      </c>
      <c r="BV26" t="s">
        <v>71</v>
      </c>
      <c r="BW26" t="s">
        <v>71</v>
      </c>
      <c r="BX26" t="s">
        <v>71</v>
      </c>
      <c r="BY26" t="s">
        <v>123</v>
      </c>
      <c r="BZ26" t="s">
        <v>98</v>
      </c>
      <c r="CA26" t="s">
        <v>98</v>
      </c>
    </row>
    <row r="27" spans="1:79" x14ac:dyDescent="0.25">
      <c r="A27">
        <v>45554.362967569439</v>
      </c>
      <c r="B27" t="s">
        <v>124</v>
      </c>
      <c r="C27">
        <v>2001</v>
      </c>
      <c r="D27" t="s">
        <v>59</v>
      </c>
      <c r="E27" t="s">
        <v>95</v>
      </c>
      <c r="F27" t="s">
        <v>76</v>
      </c>
      <c r="G27" t="s">
        <v>76</v>
      </c>
      <c r="H27" t="s">
        <v>62</v>
      </c>
      <c r="I27" t="s">
        <v>63</v>
      </c>
      <c r="J27" t="s">
        <v>90</v>
      </c>
      <c r="K27" s="1" t="s">
        <v>132</v>
      </c>
      <c r="L27" t="s">
        <v>66</v>
      </c>
      <c r="M27">
        <f t="shared" si="1"/>
        <v>0</v>
      </c>
      <c r="N27" t="s">
        <v>65</v>
      </c>
      <c r="O27">
        <f t="shared" si="2"/>
        <v>0</v>
      </c>
      <c r="P27" t="s">
        <v>67</v>
      </c>
      <c r="Q27">
        <f t="shared" si="3"/>
        <v>-0.5</v>
      </c>
      <c r="R27" t="s">
        <v>65</v>
      </c>
      <c r="S27">
        <f t="shared" si="4"/>
        <v>0</v>
      </c>
      <c r="T27" t="s">
        <v>66</v>
      </c>
      <c r="U27">
        <f t="shared" si="5"/>
        <v>0</v>
      </c>
      <c r="V27" t="s">
        <v>66</v>
      </c>
      <c r="W27">
        <f t="shared" si="6"/>
        <v>0</v>
      </c>
      <c r="X27" t="s">
        <v>67</v>
      </c>
      <c r="Y27">
        <f t="shared" si="7"/>
        <v>0.5</v>
      </c>
      <c r="Z27" t="s">
        <v>69</v>
      </c>
      <c r="AA27">
        <f t="shared" si="8"/>
        <v>-0.5</v>
      </c>
      <c r="AB27" s="2">
        <f t="shared" si="9"/>
        <v>-0.5</v>
      </c>
      <c r="AC27" s="2">
        <f t="shared" si="0"/>
        <v>-0.5625</v>
      </c>
      <c r="AD27" t="s">
        <v>66</v>
      </c>
      <c r="AE27">
        <f t="shared" si="10"/>
        <v>0</v>
      </c>
      <c r="AF27" t="s">
        <v>67</v>
      </c>
      <c r="AG27">
        <f t="shared" si="11"/>
        <v>-0.5</v>
      </c>
      <c r="AH27" t="s">
        <v>69</v>
      </c>
      <c r="AI27">
        <f t="shared" si="12"/>
        <v>-0.5</v>
      </c>
      <c r="AJ27" t="s">
        <v>70</v>
      </c>
      <c r="AK27">
        <f t="shared" si="13"/>
        <v>-1</v>
      </c>
      <c r="AL27" t="s">
        <v>65</v>
      </c>
      <c r="AM27">
        <f t="shared" si="14"/>
        <v>0</v>
      </c>
      <c r="AN27" t="s">
        <v>69</v>
      </c>
      <c r="AO27">
        <f t="shared" si="15"/>
        <v>0.5</v>
      </c>
      <c r="AP27" t="s">
        <v>65</v>
      </c>
      <c r="AQ27">
        <f t="shared" si="16"/>
        <v>0</v>
      </c>
      <c r="AR27" t="s">
        <v>67</v>
      </c>
      <c r="AS27">
        <f t="shared" si="17"/>
        <v>0.5</v>
      </c>
      <c r="AT27" t="s">
        <v>70</v>
      </c>
      <c r="AU27">
        <f t="shared" si="18"/>
        <v>1</v>
      </c>
      <c r="AV27" s="2">
        <f>AU27+AS27+AQ27+AO27+AM27+AK27+AI27+AG27+AE27</f>
        <v>0</v>
      </c>
      <c r="AW27" s="1" t="s">
        <v>132</v>
      </c>
      <c r="AX27" t="s">
        <v>67</v>
      </c>
      <c r="AY27" t="s">
        <v>65</v>
      </c>
      <c r="AZ27" t="s">
        <v>70</v>
      </c>
      <c r="BA27" t="s">
        <v>69</v>
      </c>
      <c r="BB27" t="s">
        <v>70</v>
      </c>
      <c r="BC27" t="s">
        <v>65</v>
      </c>
      <c r="BD27" t="s">
        <v>66</v>
      </c>
      <c r="BE27" t="s">
        <v>67</v>
      </c>
      <c r="BF27" t="s">
        <v>68</v>
      </c>
      <c r="BG27" t="s">
        <v>66</v>
      </c>
      <c r="BH27" t="s">
        <v>66</v>
      </c>
      <c r="BI27" t="s">
        <v>71</v>
      </c>
      <c r="BM27" t="s">
        <v>71</v>
      </c>
      <c r="BN27" t="s">
        <v>71</v>
      </c>
      <c r="BP27" t="s">
        <v>71</v>
      </c>
      <c r="BS27" t="s">
        <v>71</v>
      </c>
      <c r="BY27" t="s">
        <v>72</v>
      </c>
      <c r="BZ27" t="s">
        <v>73</v>
      </c>
      <c r="CA27" t="s">
        <v>73</v>
      </c>
    </row>
    <row r="28" spans="1:79" x14ac:dyDescent="0.25">
      <c r="A28">
        <v>45554.667973495365</v>
      </c>
      <c r="B28" t="s">
        <v>125</v>
      </c>
      <c r="C28">
        <v>2002</v>
      </c>
      <c r="D28" t="s">
        <v>59</v>
      </c>
      <c r="E28" t="s">
        <v>95</v>
      </c>
      <c r="F28" t="s">
        <v>61</v>
      </c>
      <c r="G28" t="s">
        <v>61</v>
      </c>
      <c r="H28" t="s">
        <v>83</v>
      </c>
      <c r="I28" t="s">
        <v>63</v>
      </c>
      <c r="J28" t="s">
        <v>64</v>
      </c>
      <c r="K28" s="1" t="s">
        <v>132</v>
      </c>
      <c r="L28" t="s">
        <v>69</v>
      </c>
      <c r="M28">
        <f t="shared" si="1"/>
        <v>0.5</v>
      </c>
      <c r="N28" t="s">
        <v>68</v>
      </c>
      <c r="O28">
        <f t="shared" si="2"/>
        <v>1</v>
      </c>
      <c r="P28" t="s">
        <v>70</v>
      </c>
      <c r="Q28">
        <f t="shared" si="3"/>
        <v>1</v>
      </c>
      <c r="R28" t="s">
        <v>67</v>
      </c>
      <c r="S28">
        <f t="shared" si="4"/>
        <v>0.5</v>
      </c>
      <c r="T28" t="s">
        <v>69</v>
      </c>
      <c r="U28">
        <f t="shared" si="5"/>
        <v>0.5</v>
      </c>
      <c r="V28" t="s">
        <v>69</v>
      </c>
      <c r="W28">
        <f t="shared" si="6"/>
        <v>-0.5</v>
      </c>
      <c r="X28" t="s">
        <v>67</v>
      </c>
      <c r="Y28">
        <f t="shared" si="7"/>
        <v>0.5</v>
      </c>
      <c r="Z28" t="s">
        <v>69</v>
      </c>
      <c r="AA28">
        <f t="shared" si="8"/>
        <v>-0.5</v>
      </c>
      <c r="AB28" s="2">
        <f t="shared" si="9"/>
        <v>3</v>
      </c>
      <c r="AC28" s="2">
        <f t="shared" si="0"/>
        <v>3.375</v>
      </c>
      <c r="AD28" t="s">
        <v>69</v>
      </c>
      <c r="AE28">
        <f t="shared" si="10"/>
        <v>-0.5</v>
      </c>
      <c r="AF28" t="s">
        <v>68</v>
      </c>
      <c r="AG28">
        <f t="shared" si="11"/>
        <v>-1</v>
      </c>
      <c r="AH28" t="s">
        <v>65</v>
      </c>
      <c r="AI28">
        <f t="shared" si="12"/>
        <v>0</v>
      </c>
      <c r="AJ28" t="s">
        <v>65</v>
      </c>
      <c r="AK28">
        <f t="shared" si="13"/>
        <v>0</v>
      </c>
      <c r="AL28" t="s">
        <v>68</v>
      </c>
      <c r="AM28">
        <f t="shared" si="14"/>
        <v>-1</v>
      </c>
      <c r="AN28" t="s">
        <v>70</v>
      </c>
      <c r="AO28">
        <f t="shared" si="15"/>
        <v>1</v>
      </c>
      <c r="AP28" t="s">
        <v>69</v>
      </c>
      <c r="AQ28">
        <f t="shared" si="16"/>
        <v>0.5</v>
      </c>
      <c r="AR28" t="s">
        <v>68</v>
      </c>
      <c r="AS28">
        <f t="shared" si="17"/>
        <v>1</v>
      </c>
      <c r="AT28" t="s">
        <v>67</v>
      </c>
      <c r="AU28">
        <f t="shared" si="18"/>
        <v>-0.5</v>
      </c>
      <c r="AV28" s="2">
        <f t="shared" si="19"/>
        <v>-0.5</v>
      </c>
      <c r="AW28" s="1" t="s">
        <v>132</v>
      </c>
      <c r="AX28" t="s">
        <v>67</v>
      </c>
      <c r="AY28" t="s">
        <v>65</v>
      </c>
      <c r="AZ28" t="s">
        <v>66</v>
      </c>
      <c r="BA28" t="s">
        <v>66</v>
      </c>
      <c r="BB28" t="s">
        <v>65</v>
      </c>
      <c r="BC28" t="s">
        <v>66</v>
      </c>
      <c r="BD28" t="s">
        <v>66</v>
      </c>
      <c r="BE28" t="s">
        <v>69</v>
      </c>
      <c r="BF28" t="s">
        <v>69</v>
      </c>
      <c r="BG28" t="s">
        <v>67</v>
      </c>
      <c r="BH28" t="s">
        <v>66</v>
      </c>
      <c r="BI28" t="s">
        <v>71</v>
      </c>
      <c r="BN28" t="s">
        <v>71</v>
      </c>
      <c r="BS28" t="s">
        <v>71</v>
      </c>
      <c r="BY28" t="s">
        <v>72</v>
      </c>
      <c r="BZ28" t="s">
        <v>73</v>
      </c>
      <c r="CA28" t="s">
        <v>73</v>
      </c>
    </row>
    <row r="29" spans="1:79" x14ac:dyDescent="0.25">
      <c r="A29">
        <v>45554.826449247688</v>
      </c>
      <c r="B29" t="s">
        <v>126</v>
      </c>
      <c r="C29">
        <v>2002</v>
      </c>
      <c r="D29" t="s">
        <v>81</v>
      </c>
      <c r="E29" t="s">
        <v>60</v>
      </c>
      <c r="F29" t="s">
        <v>82</v>
      </c>
      <c r="G29" t="s">
        <v>82</v>
      </c>
      <c r="H29" t="s">
        <v>113</v>
      </c>
      <c r="I29" t="s">
        <v>89</v>
      </c>
      <c r="J29" t="s">
        <v>90</v>
      </c>
      <c r="K29" s="1" t="s">
        <v>132</v>
      </c>
      <c r="L29" t="s">
        <v>66</v>
      </c>
      <c r="M29">
        <f t="shared" si="1"/>
        <v>0</v>
      </c>
      <c r="N29" t="s">
        <v>66</v>
      </c>
      <c r="O29">
        <f t="shared" si="2"/>
        <v>0</v>
      </c>
      <c r="P29" t="s">
        <v>68</v>
      </c>
      <c r="Q29">
        <f t="shared" si="3"/>
        <v>-1</v>
      </c>
      <c r="R29" t="s">
        <v>67</v>
      </c>
      <c r="S29">
        <f t="shared" si="4"/>
        <v>0.5</v>
      </c>
      <c r="T29" t="s">
        <v>66</v>
      </c>
      <c r="U29">
        <f t="shared" si="5"/>
        <v>0</v>
      </c>
      <c r="V29" t="s">
        <v>66</v>
      </c>
      <c r="W29">
        <f t="shared" si="6"/>
        <v>0</v>
      </c>
      <c r="X29" t="s">
        <v>65</v>
      </c>
      <c r="Y29">
        <f t="shared" si="7"/>
        <v>0</v>
      </c>
      <c r="Z29" t="s">
        <v>69</v>
      </c>
      <c r="AA29">
        <f t="shared" si="8"/>
        <v>-0.5</v>
      </c>
      <c r="AB29" s="2">
        <f t="shared" si="9"/>
        <v>-1</v>
      </c>
      <c r="AC29" s="2">
        <f t="shared" si="0"/>
        <v>-1.125</v>
      </c>
      <c r="AD29" t="s">
        <v>65</v>
      </c>
      <c r="AE29">
        <f t="shared" si="10"/>
        <v>0</v>
      </c>
      <c r="AF29" t="s">
        <v>67</v>
      </c>
      <c r="AG29">
        <f t="shared" si="11"/>
        <v>-0.5</v>
      </c>
      <c r="AH29" t="s">
        <v>70</v>
      </c>
      <c r="AI29">
        <f t="shared" si="12"/>
        <v>-1</v>
      </c>
      <c r="AJ29" t="s">
        <v>70</v>
      </c>
      <c r="AK29">
        <f t="shared" si="13"/>
        <v>-1</v>
      </c>
      <c r="AL29" t="s">
        <v>66</v>
      </c>
      <c r="AM29">
        <f t="shared" si="14"/>
        <v>0</v>
      </c>
      <c r="AN29" t="s">
        <v>66</v>
      </c>
      <c r="AO29">
        <f t="shared" si="15"/>
        <v>0</v>
      </c>
      <c r="AP29" t="s">
        <v>65</v>
      </c>
      <c r="AQ29">
        <f t="shared" si="16"/>
        <v>0</v>
      </c>
      <c r="AR29" t="s">
        <v>66</v>
      </c>
      <c r="AS29">
        <f t="shared" si="17"/>
        <v>0</v>
      </c>
      <c r="AT29" t="s">
        <v>70</v>
      </c>
      <c r="AU29">
        <f t="shared" si="18"/>
        <v>1</v>
      </c>
      <c r="AV29" s="2">
        <f t="shared" si="19"/>
        <v>-1.5</v>
      </c>
      <c r="AW29" s="1" t="s">
        <v>132</v>
      </c>
      <c r="AX29" t="s">
        <v>67</v>
      </c>
      <c r="AY29" t="s">
        <v>67</v>
      </c>
      <c r="AZ29" t="s">
        <v>66</v>
      </c>
      <c r="BA29" t="s">
        <v>66</v>
      </c>
      <c r="BB29" t="s">
        <v>70</v>
      </c>
      <c r="BC29" t="s">
        <v>66</v>
      </c>
      <c r="BD29" t="s">
        <v>69</v>
      </c>
      <c r="BE29" t="s">
        <v>66</v>
      </c>
      <c r="BF29" t="s">
        <v>69</v>
      </c>
      <c r="BG29" t="s">
        <v>67</v>
      </c>
      <c r="BH29" t="s">
        <v>65</v>
      </c>
      <c r="BL29" t="s">
        <v>71</v>
      </c>
      <c r="BN29" t="s">
        <v>71</v>
      </c>
      <c r="BY29" t="s">
        <v>72</v>
      </c>
      <c r="BZ29" t="s">
        <v>72</v>
      </c>
      <c r="CA29" t="s">
        <v>73</v>
      </c>
    </row>
    <row r="30" spans="1:79" x14ac:dyDescent="0.25">
      <c r="A30">
        <v>45556.729685636572</v>
      </c>
      <c r="B30" t="s">
        <v>127</v>
      </c>
      <c r="C30">
        <v>2000</v>
      </c>
      <c r="D30" t="s">
        <v>75</v>
      </c>
      <c r="E30" t="s">
        <v>95</v>
      </c>
      <c r="F30" t="s">
        <v>96</v>
      </c>
      <c r="G30" t="s">
        <v>76</v>
      </c>
      <c r="H30" t="s">
        <v>83</v>
      </c>
      <c r="I30" t="s">
        <v>128</v>
      </c>
      <c r="J30" t="s">
        <v>90</v>
      </c>
      <c r="K30" s="1" t="s">
        <v>132</v>
      </c>
      <c r="L30" t="s">
        <v>68</v>
      </c>
      <c r="M30">
        <f t="shared" si="1"/>
        <v>-1</v>
      </c>
      <c r="N30" t="s">
        <v>70</v>
      </c>
      <c r="O30">
        <f t="shared" si="2"/>
        <v>-1</v>
      </c>
      <c r="P30" t="s">
        <v>68</v>
      </c>
      <c r="Q30">
        <f t="shared" si="3"/>
        <v>-1</v>
      </c>
      <c r="R30" t="s">
        <v>69</v>
      </c>
      <c r="S30">
        <f t="shared" si="4"/>
        <v>-0.5</v>
      </c>
      <c r="T30" t="s">
        <v>68</v>
      </c>
      <c r="U30">
        <f t="shared" si="5"/>
        <v>-1</v>
      </c>
      <c r="V30" t="s">
        <v>66</v>
      </c>
      <c r="W30">
        <f t="shared" si="6"/>
        <v>0</v>
      </c>
      <c r="X30" t="s">
        <v>69</v>
      </c>
      <c r="Y30">
        <f t="shared" si="7"/>
        <v>-0.5</v>
      </c>
      <c r="Z30" t="s">
        <v>70</v>
      </c>
      <c r="AA30">
        <f t="shared" si="8"/>
        <v>-1</v>
      </c>
      <c r="AB30" s="2">
        <f t="shared" si="9"/>
        <v>-6</v>
      </c>
      <c r="AC30" s="2">
        <f t="shared" si="0"/>
        <v>-6.75</v>
      </c>
      <c r="AD30" t="s">
        <v>67</v>
      </c>
      <c r="AE30">
        <f t="shared" si="10"/>
        <v>0.5</v>
      </c>
      <c r="AF30" t="s">
        <v>66</v>
      </c>
      <c r="AG30">
        <f t="shared" si="11"/>
        <v>0</v>
      </c>
      <c r="AH30" t="s">
        <v>70</v>
      </c>
      <c r="AI30">
        <f t="shared" si="12"/>
        <v>-1</v>
      </c>
      <c r="AJ30" t="s">
        <v>70</v>
      </c>
      <c r="AK30">
        <f t="shared" si="13"/>
        <v>-1</v>
      </c>
      <c r="AL30" t="s">
        <v>68</v>
      </c>
      <c r="AM30">
        <f t="shared" si="14"/>
        <v>-1</v>
      </c>
      <c r="AN30" t="s">
        <v>65</v>
      </c>
      <c r="AO30">
        <f t="shared" si="15"/>
        <v>0</v>
      </c>
      <c r="AP30" t="s">
        <v>67</v>
      </c>
      <c r="AQ30">
        <f t="shared" si="16"/>
        <v>-0.5</v>
      </c>
      <c r="AR30" t="s">
        <v>70</v>
      </c>
      <c r="AS30">
        <f t="shared" si="17"/>
        <v>-1</v>
      </c>
      <c r="AT30" t="s">
        <v>70</v>
      </c>
      <c r="AU30">
        <f t="shared" si="18"/>
        <v>1</v>
      </c>
      <c r="AV30" s="2">
        <f t="shared" si="19"/>
        <v>-3</v>
      </c>
      <c r="AW30" s="1" t="s">
        <v>132</v>
      </c>
      <c r="AX30" t="s">
        <v>70</v>
      </c>
      <c r="AY30" t="s">
        <v>66</v>
      </c>
      <c r="AZ30" t="s">
        <v>68</v>
      </c>
      <c r="BA30" t="s">
        <v>69</v>
      </c>
      <c r="BB30" t="s">
        <v>67</v>
      </c>
      <c r="BC30" t="s">
        <v>70</v>
      </c>
      <c r="BD30" t="s">
        <v>70</v>
      </c>
      <c r="BE30" t="s">
        <v>70</v>
      </c>
      <c r="BF30" t="s">
        <v>70</v>
      </c>
      <c r="BG30" t="s">
        <v>68</v>
      </c>
      <c r="BH30" t="s">
        <v>69</v>
      </c>
      <c r="BK30" t="s">
        <v>71</v>
      </c>
      <c r="BL30" t="s">
        <v>71</v>
      </c>
      <c r="BQ30" t="s">
        <v>71</v>
      </c>
      <c r="BR30" t="s">
        <v>71</v>
      </c>
      <c r="BV30" t="s">
        <v>71</v>
      </c>
      <c r="BW30" t="s">
        <v>71</v>
      </c>
      <c r="BY30" t="s">
        <v>101</v>
      </c>
      <c r="BZ30" t="s">
        <v>79</v>
      </c>
      <c r="CA30" t="s">
        <v>79</v>
      </c>
    </row>
    <row r="31" spans="1:79" x14ac:dyDescent="0.25">
      <c r="A31">
        <v>45560.55297287037</v>
      </c>
      <c r="B31" t="s">
        <v>129</v>
      </c>
      <c r="C31">
        <v>1999</v>
      </c>
      <c r="D31" t="s">
        <v>59</v>
      </c>
      <c r="E31" t="s">
        <v>130</v>
      </c>
      <c r="F31" t="s">
        <v>76</v>
      </c>
      <c r="G31" t="s">
        <v>96</v>
      </c>
      <c r="H31" t="s">
        <v>83</v>
      </c>
      <c r="I31" t="s">
        <v>89</v>
      </c>
      <c r="J31" t="s">
        <v>77</v>
      </c>
      <c r="K31" s="1" t="s">
        <v>132</v>
      </c>
      <c r="L31" t="s">
        <v>67</v>
      </c>
      <c r="M31">
        <f t="shared" si="1"/>
        <v>-0.5</v>
      </c>
      <c r="N31" t="s">
        <v>69</v>
      </c>
      <c r="O31">
        <f t="shared" si="2"/>
        <v>-0.5</v>
      </c>
      <c r="P31" t="s">
        <v>68</v>
      </c>
      <c r="Q31">
        <f t="shared" si="3"/>
        <v>-1</v>
      </c>
      <c r="R31" t="s">
        <v>70</v>
      </c>
      <c r="S31">
        <f t="shared" si="4"/>
        <v>-1</v>
      </c>
      <c r="T31" t="s">
        <v>67</v>
      </c>
      <c r="U31">
        <f t="shared" si="5"/>
        <v>-0.5</v>
      </c>
      <c r="V31" t="s">
        <v>65</v>
      </c>
      <c r="W31">
        <f t="shared" si="6"/>
        <v>0</v>
      </c>
      <c r="X31" t="s">
        <v>66</v>
      </c>
      <c r="Y31">
        <f t="shared" si="7"/>
        <v>0</v>
      </c>
      <c r="Z31" t="s">
        <v>70</v>
      </c>
      <c r="AA31">
        <f t="shared" si="8"/>
        <v>-1</v>
      </c>
      <c r="AB31" s="2">
        <f t="shared" si="9"/>
        <v>-4.5</v>
      </c>
      <c r="AC31" s="2">
        <f t="shared" si="0"/>
        <v>-5.0625</v>
      </c>
      <c r="AD31" t="s">
        <v>69</v>
      </c>
      <c r="AE31">
        <f t="shared" si="10"/>
        <v>-0.5</v>
      </c>
      <c r="AF31" t="s">
        <v>69</v>
      </c>
      <c r="AG31">
        <f t="shared" si="11"/>
        <v>0.5</v>
      </c>
      <c r="AH31" t="s">
        <v>70</v>
      </c>
      <c r="AI31">
        <f t="shared" si="12"/>
        <v>-1</v>
      </c>
      <c r="AJ31" t="s">
        <v>70</v>
      </c>
      <c r="AK31">
        <f t="shared" si="13"/>
        <v>-1</v>
      </c>
      <c r="AL31" t="s">
        <v>68</v>
      </c>
      <c r="AM31">
        <f t="shared" si="14"/>
        <v>-1</v>
      </c>
      <c r="AN31" t="s">
        <v>65</v>
      </c>
      <c r="AO31">
        <f t="shared" si="15"/>
        <v>0</v>
      </c>
      <c r="AP31" t="s">
        <v>67</v>
      </c>
      <c r="AQ31">
        <f t="shared" si="16"/>
        <v>-0.5</v>
      </c>
      <c r="AR31" t="s">
        <v>70</v>
      </c>
      <c r="AS31">
        <f t="shared" si="17"/>
        <v>-1</v>
      </c>
      <c r="AT31" t="s">
        <v>66</v>
      </c>
      <c r="AU31">
        <f t="shared" si="18"/>
        <v>0</v>
      </c>
      <c r="AV31" s="2">
        <f t="shared" si="19"/>
        <v>-4.5</v>
      </c>
      <c r="AW31" s="1" t="s">
        <v>132</v>
      </c>
      <c r="AX31" t="s">
        <v>70</v>
      </c>
      <c r="AY31" t="s">
        <v>66</v>
      </c>
      <c r="AZ31" t="s">
        <v>67</v>
      </c>
      <c r="BA31" t="s">
        <v>65</v>
      </c>
      <c r="BB31" t="s">
        <v>69</v>
      </c>
      <c r="BC31" t="s">
        <v>70</v>
      </c>
      <c r="BD31" t="s">
        <v>70</v>
      </c>
      <c r="BE31" t="s">
        <v>70</v>
      </c>
      <c r="BF31" t="s">
        <v>70</v>
      </c>
      <c r="BG31" t="s">
        <v>67</v>
      </c>
      <c r="BH31" t="s">
        <v>70</v>
      </c>
      <c r="BQ31" t="s">
        <v>71</v>
      </c>
      <c r="BR31" t="s">
        <v>71</v>
      </c>
      <c r="BV31" t="s">
        <v>71</v>
      </c>
      <c r="BY31" t="s">
        <v>79</v>
      </c>
      <c r="BZ31" t="s">
        <v>79</v>
      </c>
      <c r="CA31" t="s">
        <v>79</v>
      </c>
    </row>
    <row r="32" spans="1:79" x14ac:dyDescent="0.25">
      <c r="K32" s="1" t="s">
        <v>137</v>
      </c>
      <c r="M32" t="str">
        <f t="shared" si="1"/>
        <v>error</v>
      </c>
      <c r="N32" t="e">
        <f t="shared" ref="N32:AU32" si="20">+AVERAGE(N2:N31)</f>
        <v>#DIV/0!</v>
      </c>
      <c r="O32" t="e">
        <f t="shared" si="2"/>
        <v>#DIV/0!</v>
      </c>
      <c r="P32" t="e">
        <f t="shared" si="20"/>
        <v>#DIV/0!</v>
      </c>
      <c r="Q32" t="e">
        <f t="shared" si="3"/>
        <v>#DIV/0!</v>
      </c>
      <c r="R32" t="e">
        <f t="shared" si="20"/>
        <v>#DIV/0!</v>
      </c>
      <c r="S32" t="e">
        <f t="shared" si="4"/>
        <v>#DIV/0!</v>
      </c>
      <c r="T32" t="e">
        <f t="shared" si="20"/>
        <v>#DIV/0!</v>
      </c>
      <c r="U32" t="e">
        <f t="shared" si="5"/>
        <v>#DIV/0!</v>
      </c>
      <c r="V32" t="e">
        <f t="shared" si="20"/>
        <v>#DIV/0!</v>
      </c>
      <c r="W32" t="e">
        <f t="shared" si="6"/>
        <v>#DIV/0!</v>
      </c>
      <c r="X32" t="e">
        <f t="shared" si="20"/>
        <v>#DIV/0!</v>
      </c>
      <c r="Y32" t="e">
        <f t="shared" si="7"/>
        <v>#DIV/0!</v>
      </c>
      <c r="Z32" t="e">
        <f t="shared" si="20"/>
        <v>#DIV/0!</v>
      </c>
      <c r="AA32" t="e">
        <f t="shared" si="8"/>
        <v>#DIV/0!</v>
      </c>
      <c r="AB32">
        <f>+AVERAGE(AB2:AB31)</f>
        <v>6.6666666666666666E-2</v>
      </c>
      <c r="AC32">
        <f t="shared" si="20"/>
        <v>7.4999999999999997E-2</v>
      </c>
      <c r="AD32" t="e">
        <f t="shared" si="20"/>
        <v>#DIV/0!</v>
      </c>
      <c r="AE32" t="e">
        <f t="shared" si="10"/>
        <v>#DIV/0!</v>
      </c>
      <c r="AF32" t="e">
        <f t="shared" si="20"/>
        <v>#DIV/0!</v>
      </c>
      <c r="AG32" t="e">
        <f t="shared" si="11"/>
        <v>#DIV/0!</v>
      </c>
      <c r="AH32" t="e">
        <f t="shared" si="20"/>
        <v>#DIV/0!</v>
      </c>
      <c r="AI32" t="e">
        <f t="shared" si="12"/>
        <v>#DIV/0!</v>
      </c>
      <c r="AJ32" t="e">
        <f t="shared" si="20"/>
        <v>#DIV/0!</v>
      </c>
      <c r="AK32" t="e">
        <f t="shared" si="13"/>
        <v>#DIV/0!</v>
      </c>
      <c r="AL32" t="e">
        <f t="shared" si="20"/>
        <v>#DIV/0!</v>
      </c>
      <c r="AM32" t="e">
        <f t="shared" si="14"/>
        <v>#DIV/0!</v>
      </c>
      <c r="AN32" t="e">
        <f t="shared" si="20"/>
        <v>#DIV/0!</v>
      </c>
      <c r="AO32" t="e">
        <f t="shared" si="15"/>
        <v>#DIV/0!</v>
      </c>
      <c r="AP32" t="e">
        <f t="shared" si="20"/>
        <v>#DIV/0!</v>
      </c>
      <c r="AQ32" t="e">
        <f t="shared" si="16"/>
        <v>#DIV/0!</v>
      </c>
      <c r="AR32" t="e">
        <f t="shared" si="20"/>
        <v>#DIV/0!</v>
      </c>
      <c r="AS32" t="e">
        <f t="shared" si="17"/>
        <v>#DIV/0!</v>
      </c>
      <c r="AT32" t="e">
        <f t="shared" si="20"/>
        <v>#DIV/0!</v>
      </c>
      <c r="AU32" t="e">
        <f t="shared" si="18"/>
        <v>#DIV/0!</v>
      </c>
      <c r="AV32" s="2" t="e">
        <f t="shared" si="19"/>
        <v>#DIV/0!</v>
      </c>
      <c r="AW32" s="1"/>
    </row>
    <row r="33" spans="12:49" x14ac:dyDescent="0.25">
      <c r="L33" t="str">
        <f>IF(AS2="Totalmente de Acuerdo",1,IF(AS2="Muy de Acuerdo",0.66,IF(AS2="Levemente de Acuerdo",0.33,IF(AS2="Levemente en Desacuerdo",-0.33,IF(AS2="Muy en Desacuerdo",-0.66,IF(AS2="Totalmente en Desacuerdo",-1,"error"))))))</f>
        <v>error</v>
      </c>
      <c r="M33" t="str">
        <f t="shared" si="1"/>
        <v>error</v>
      </c>
      <c r="O33" t="str">
        <f t="shared" si="2"/>
        <v>error</v>
      </c>
      <c r="Q33" t="str">
        <f t="shared" si="3"/>
        <v>error</v>
      </c>
      <c r="S33" t="str">
        <f t="shared" si="4"/>
        <v>error</v>
      </c>
      <c r="U33" t="str">
        <f t="shared" si="5"/>
        <v>error</v>
      </c>
      <c r="W33" t="str">
        <f t="shared" si="6"/>
        <v>error</v>
      </c>
      <c r="Y33" t="str">
        <f t="shared" si="7"/>
        <v>error</v>
      </c>
      <c r="AA33" t="str">
        <f t="shared" si="8"/>
        <v>error</v>
      </c>
      <c r="AB33" s="2">
        <f t="shared" si="9"/>
        <v>0</v>
      </c>
      <c r="AC33" s="2">
        <f>+AB33*AB$35</f>
        <v>0</v>
      </c>
      <c r="AE33" t="str">
        <f t="shared" si="10"/>
        <v>error</v>
      </c>
      <c r="AF33" t="str">
        <f t="shared" ref="AF33:AR33" si="21">IF(AE2="Totalmente de Acuerdo",1,IF(AE2="Muy de Acuerdo",0.66,IF(AE2="Levemente de Acuerdo",0.33,IF(AE2="Levemente en Desacuerdo",-0.33,IF(AE2="Muy en Desacuerdo",-0.66,IF(AE2="Totalmente en Desacuerdo",-1,"error"))))))</f>
        <v>error</v>
      </c>
      <c r="AG33" t="str">
        <f t="shared" si="11"/>
        <v>error</v>
      </c>
      <c r="AH33" t="str">
        <f t="shared" si="21"/>
        <v>error</v>
      </c>
      <c r="AI33" t="str">
        <f t="shared" si="12"/>
        <v>error</v>
      </c>
      <c r="AJ33" t="str">
        <f t="shared" si="21"/>
        <v>error</v>
      </c>
      <c r="AK33" t="str">
        <f t="shared" si="13"/>
        <v>error</v>
      </c>
      <c r="AL33" t="str">
        <f t="shared" si="21"/>
        <v>error</v>
      </c>
      <c r="AM33" t="str">
        <f t="shared" si="14"/>
        <v>error</v>
      </c>
      <c r="AN33" t="str">
        <f t="shared" si="21"/>
        <v>error</v>
      </c>
      <c r="AO33" t="str">
        <f t="shared" si="15"/>
        <v>error</v>
      </c>
      <c r="AP33" t="str">
        <f t="shared" si="21"/>
        <v>error</v>
      </c>
      <c r="AQ33" t="str">
        <f t="shared" si="16"/>
        <v>error</v>
      </c>
      <c r="AR33" t="str">
        <f t="shared" si="21"/>
        <v>error</v>
      </c>
      <c r="AS33" t="str">
        <f t="shared" si="17"/>
        <v>error</v>
      </c>
      <c r="AT33" t="str">
        <f>IF(M2="Totalmente de Acuerdo",1,IF(M2="Muy de Acuerdo",0.66,IF(M2="Levemente de Acuerdo",0.33,IF(M2="Levemente en Desacuerdo",-0.33,IF(M2="Muy en Desacuerdo",-0.66,IF(M2="Totalmente en Desacuerdo",-1,"error"))))))</f>
        <v>error</v>
      </c>
      <c r="AU33" t="str">
        <f t="shared" si="18"/>
        <v>error</v>
      </c>
      <c r="AV33" s="2" t="e">
        <f t="shared" si="19"/>
        <v>#VALUE!</v>
      </c>
      <c r="AW33" s="1" t="s">
        <v>132</v>
      </c>
    </row>
    <row r="34" spans="12:49" x14ac:dyDescent="0.25">
      <c r="L34" t="str">
        <f>IF(AS2="Totalmente de Acuerdo",-1,IF(AS2="Muy de Acuerdo",-0.66,IF(AS2="Levemente de Acuerdo",-0.33,IF(AS2="Levemente en Desacuerdo",0.33,IF(AS2="Muy en Desacuerdo",0.66,IF(AS2="Totalmente en Desacuerdo",1,"error"))))))</f>
        <v>error</v>
      </c>
      <c r="M34" t="str">
        <f t="shared" si="1"/>
        <v>error</v>
      </c>
      <c r="O34" t="str">
        <f t="shared" si="2"/>
        <v>error</v>
      </c>
      <c r="Q34" t="str">
        <f t="shared" si="3"/>
        <v>error</v>
      </c>
      <c r="S34" t="str">
        <f t="shared" si="4"/>
        <v>error</v>
      </c>
      <c r="U34" t="str">
        <f t="shared" si="5"/>
        <v>error</v>
      </c>
      <c r="W34" t="str">
        <f t="shared" si="6"/>
        <v>error</v>
      </c>
      <c r="Y34" t="str">
        <f t="shared" si="7"/>
        <v>error</v>
      </c>
      <c r="AA34" t="str">
        <f t="shared" si="8"/>
        <v>error</v>
      </c>
      <c r="AB34" s="2">
        <f t="shared" si="9"/>
        <v>0</v>
      </c>
      <c r="AC34" s="2">
        <f>+AB34*AB$35</f>
        <v>0</v>
      </c>
      <c r="AE34" t="str">
        <f t="shared" si="10"/>
        <v>error</v>
      </c>
      <c r="AF34" t="str">
        <f t="shared" ref="AF34:AR34" si="22">IF(AE2="Totalmente de Acuerdo",-1,IF(AE2="Muy de Acuerdo",-0.66,IF(AE2="Levemente de Acuerdo",-0.33,IF(AE2="Levemente en Desacuerdo",0.33,IF(AE2="Muy en Desacuerdo",0.66,IF(AE2="Totalmente en Desacuerdo",1,"error"))))))</f>
        <v>error</v>
      </c>
      <c r="AG34" t="str">
        <f t="shared" si="11"/>
        <v>error</v>
      </c>
      <c r="AH34" t="str">
        <f t="shared" si="22"/>
        <v>error</v>
      </c>
      <c r="AI34" t="str">
        <f t="shared" si="12"/>
        <v>error</v>
      </c>
      <c r="AJ34" t="str">
        <f t="shared" si="22"/>
        <v>error</v>
      </c>
      <c r="AK34" t="str">
        <f t="shared" si="13"/>
        <v>error</v>
      </c>
      <c r="AL34" t="str">
        <f t="shared" si="22"/>
        <v>error</v>
      </c>
      <c r="AM34" t="str">
        <f t="shared" si="14"/>
        <v>error</v>
      </c>
      <c r="AN34" t="str">
        <f t="shared" si="22"/>
        <v>error</v>
      </c>
      <c r="AO34" t="str">
        <f t="shared" si="15"/>
        <v>error</v>
      </c>
      <c r="AP34" t="str">
        <f t="shared" si="22"/>
        <v>error</v>
      </c>
      <c r="AQ34" t="str">
        <f t="shared" si="16"/>
        <v>error</v>
      </c>
      <c r="AR34" t="str">
        <f t="shared" si="22"/>
        <v>error</v>
      </c>
      <c r="AS34" t="str">
        <f t="shared" si="17"/>
        <v>error</v>
      </c>
      <c r="AT34" t="str">
        <f>IF(M2="Totalmente de Acuerdo",-1,IF(M2="Muy de Acuerdo",-0.66,IF(M2="Levemente de Acuerdo",-0.33,IF(M2="Levemente en Desacuerdo",0.33,IF(M2="Muy en Desacuerdo",0.66,IF(M2="Totalmente en Desacuerdo",1,"error"))))))</f>
        <v>error</v>
      </c>
      <c r="AU34" t="str">
        <f t="shared" si="18"/>
        <v>error</v>
      </c>
      <c r="AV34" s="2" t="e">
        <f t="shared" si="19"/>
        <v>#VALUE!</v>
      </c>
    </row>
    <row r="35" spans="12:49" x14ac:dyDescent="0.25">
      <c r="M35" t="str">
        <f t="shared" si="1"/>
        <v>error</v>
      </c>
      <c r="AB35" s="2">
        <f>9/8</f>
        <v>1.125</v>
      </c>
      <c r="AC35" s="2">
        <f>+AB35*AB$35</f>
        <v>1.265625</v>
      </c>
      <c r="AE35" t="str">
        <f t="shared" si="10"/>
        <v>error</v>
      </c>
      <c r="AG35" t="str">
        <f t="shared" si="11"/>
        <v>error</v>
      </c>
      <c r="AI35" t="str">
        <f t="shared" si="12"/>
        <v>error</v>
      </c>
      <c r="AK35" t="str">
        <f t="shared" si="13"/>
        <v>error</v>
      </c>
      <c r="AM35" t="str">
        <f t="shared" si="14"/>
        <v>error</v>
      </c>
      <c r="AO35" t="str">
        <f t="shared" si="15"/>
        <v>error</v>
      </c>
      <c r="AQ35" t="str">
        <f t="shared" si="16"/>
        <v>error</v>
      </c>
      <c r="AS35" t="str">
        <f t="shared" si="17"/>
        <v>error</v>
      </c>
      <c r="AU35" t="str">
        <f t="shared" si="18"/>
        <v>error</v>
      </c>
      <c r="AV35" s="2" t="e">
        <f t="shared" si="19"/>
        <v>#VALUE!</v>
      </c>
    </row>
  </sheetData>
  <conditionalFormatting sqref="N32 P32 R32 T32 V32 X32 Z32 AB32:AD32 AF32 AH32 AJ32 AL32 AN32 AP32 AR32 AT32">
    <cfRule type="cellIs" dxfId="8" priority="1" operator="lessThan">
      <formula>0</formula>
    </cfRule>
    <cfRule type="cellIs" dxfId="7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2921-A254-42B7-BA1B-AA4C9767A016}">
  <dimension ref="A1:CB35"/>
  <sheetViews>
    <sheetView workbookViewId="0">
      <selection activeCell="Y36" sqref="Y36"/>
    </sheetView>
  </sheetViews>
  <sheetFormatPr baseColWidth="10" defaultColWidth="18.85546875" defaultRowHeight="15" x14ac:dyDescent="0.25"/>
  <cols>
    <col min="24" max="25" width="29.5703125" customWidth="1"/>
    <col min="27" max="27" width="17.140625" customWidth="1"/>
    <col min="77" max="77" width="65.28515625" bestFit="1" customWidth="1"/>
    <col min="78" max="78" width="70.28515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132</v>
      </c>
      <c r="L1" t="s">
        <v>25</v>
      </c>
      <c r="M1" s="1" t="s">
        <v>133</v>
      </c>
      <c r="N1" t="s">
        <v>10</v>
      </c>
      <c r="O1" s="1" t="s">
        <v>133</v>
      </c>
      <c r="P1" t="s">
        <v>12</v>
      </c>
      <c r="Q1" s="1" t="s">
        <v>133</v>
      </c>
      <c r="R1" t="s">
        <v>13</v>
      </c>
      <c r="S1" s="1" t="s">
        <v>133</v>
      </c>
      <c r="T1" t="s">
        <v>14</v>
      </c>
      <c r="U1" s="1" t="s">
        <v>133</v>
      </c>
      <c r="V1" t="s">
        <v>15</v>
      </c>
      <c r="W1" s="1" t="s">
        <v>133</v>
      </c>
      <c r="X1" t="s">
        <v>16</v>
      </c>
      <c r="Y1" s="1" t="s">
        <v>133</v>
      </c>
      <c r="Z1" t="s">
        <v>17</v>
      </c>
      <c r="AA1" s="1" t="s">
        <v>133</v>
      </c>
      <c r="AB1" s="2" t="s">
        <v>131</v>
      </c>
      <c r="AC1" s="2" t="s">
        <v>134</v>
      </c>
      <c r="AD1" t="s">
        <v>11</v>
      </c>
      <c r="AE1" s="1" t="s">
        <v>133</v>
      </c>
      <c r="AF1" t="s">
        <v>18</v>
      </c>
      <c r="AG1" s="1" t="s">
        <v>133</v>
      </c>
      <c r="AH1" t="s">
        <v>19</v>
      </c>
      <c r="AI1" s="1" t="s">
        <v>133</v>
      </c>
      <c r="AJ1" t="s">
        <v>20</v>
      </c>
      <c r="AK1" s="1" t="s">
        <v>133</v>
      </c>
      <c r="AL1" t="s">
        <v>21</v>
      </c>
      <c r="AM1" s="1" t="s">
        <v>133</v>
      </c>
      <c r="AN1" t="s">
        <v>22</v>
      </c>
      <c r="AO1" s="1" t="s">
        <v>133</v>
      </c>
      <c r="AP1" t="s">
        <v>23</v>
      </c>
      <c r="AQ1" s="1" t="s">
        <v>133</v>
      </c>
      <c r="AR1" t="s">
        <v>24</v>
      </c>
      <c r="AS1" s="1" t="s">
        <v>133</v>
      </c>
      <c r="AT1" t="s">
        <v>26</v>
      </c>
      <c r="AU1" s="1" t="s">
        <v>133</v>
      </c>
      <c r="AV1" s="2" t="s">
        <v>135</v>
      </c>
      <c r="AW1" s="1" t="s">
        <v>132</v>
      </c>
      <c r="AX1" t="s">
        <v>27</v>
      </c>
      <c r="AY1" t="s">
        <v>28</v>
      </c>
      <c r="AZ1" t="s">
        <v>29</v>
      </c>
      <c r="BA1" t="s">
        <v>30</v>
      </c>
      <c r="BB1" t="s">
        <v>31</v>
      </c>
      <c r="BC1" t="s">
        <v>32</v>
      </c>
      <c r="BD1" t="s">
        <v>33</v>
      </c>
      <c r="BE1" t="s">
        <v>34</v>
      </c>
      <c r="BF1" t="s">
        <v>35</v>
      </c>
      <c r="BG1" t="s">
        <v>36</v>
      </c>
      <c r="BH1" t="s">
        <v>37</v>
      </c>
      <c r="BI1" t="s">
        <v>38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  <c r="BO1" t="s">
        <v>44</v>
      </c>
      <c r="BP1" t="s">
        <v>45</v>
      </c>
      <c r="BQ1" t="s">
        <v>46</v>
      </c>
      <c r="BR1" t="s">
        <v>47</v>
      </c>
      <c r="BS1" t="s">
        <v>48</v>
      </c>
      <c r="BT1" t="s">
        <v>49</v>
      </c>
      <c r="BU1" t="s">
        <v>50</v>
      </c>
      <c r="BV1" t="s">
        <v>51</v>
      </c>
      <c r="BW1" t="s">
        <v>52</v>
      </c>
      <c r="BX1" t="s">
        <v>53</v>
      </c>
      <c r="BY1" t="s">
        <v>54</v>
      </c>
      <c r="BZ1" t="s">
        <v>55</v>
      </c>
      <c r="CA1" t="s">
        <v>56</v>
      </c>
      <c r="CB1" t="s">
        <v>57</v>
      </c>
    </row>
    <row r="2" spans="1:80" x14ac:dyDescent="0.25">
      <c r="A2">
        <v>45547.897125914351</v>
      </c>
      <c r="B2" t="s">
        <v>58</v>
      </c>
      <c r="C2">
        <v>2002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63</v>
      </c>
      <c r="J2" t="s">
        <v>64</v>
      </c>
      <c r="K2" s="1" t="s">
        <v>132</v>
      </c>
      <c r="L2" t="s">
        <v>70</v>
      </c>
      <c r="M2">
        <f>IF(L2="Totalmente de Acuerdo",-1,IF(L2="Muy de Acuerdo",-1,IF(L2="Levemente de Acuerdo",0,IF(L2="Levemente en Desacuerdo",0,IF(L2="Muy en Desacuerdo",1,IF(L2="Totalmente en Desacuerdo",1,"error"))))))</f>
        <v>1</v>
      </c>
      <c r="N2" t="s">
        <v>65</v>
      </c>
      <c r="O2">
        <f>IF(N2="Totalmente de Acuerdo",1,IF(N2="Muy de Acuerdo",1,IF(N2="Levemente de Acuerdo",0,IF(N2="Levemente en Desacuerdo",0,IF(N2="Muy en Desacuerdo",-1,IF(N2="Totalmente en Desacuerdo",-1,"error"))))))</f>
        <v>0</v>
      </c>
      <c r="P2" t="s">
        <v>67</v>
      </c>
      <c r="Q2">
        <f>IF(P2="Totalmente de Acuerdo",-1,IF(P2="Muy de Acuerdo",-1,IF(P2="Levemente de Acuerdo",0,IF(P2="Levemente en Desacuerdo",0,IF(P2="Muy en Desacuerdo",1,IF(P2="Totalmente en Desacuerdo",1,"error"))))))</f>
        <v>-1</v>
      </c>
      <c r="R2" t="s">
        <v>68</v>
      </c>
      <c r="S2">
        <f>IF(R2="Totalmente de Acuerdo",1,IF(R2="Muy de Acuerdo",1,IF(R2="Levemente de Acuerdo",0,IF(R2="Levemente en Desacuerdo",0,IF(R2="Muy en Desacuerdo",-1,IF(R2="Totalmente en Desacuerdo",-1,"error"))))))</f>
        <v>1</v>
      </c>
      <c r="T2" t="s">
        <v>69</v>
      </c>
      <c r="U2">
        <f>IF(T2="Totalmente de Acuerdo",-1,IF(T2="Muy de Acuerdo",-1,IF(T2="Levemente de Acuerdo",0,IF(T2="Levemente en Desacuerdo",0,IF(T2="Muy en Desacuerdo",1,IF(T2="Totalmente en Desacuerdo",1,"error"))))))</f>
        <v>1</v>
      </c>
      <c r="V2" t="s">
        <v>68</v>
      </c>
      <c r="W2">
        <f>IF(V2="Totalmente de Acuerdo",1,IF(V2="Muy de Acuerdo",1,IF(V2="Levemente de Acuerdo",0,IF(V2="Levemente en Desacuerdo",0,IF(V2="Muy en Desacuerdo",-1,IF(V2="Totalmente en Desacuerdo",-1,"error"))))))</f>
        <v>1</v>
      </c>
      <c r="X2" t="s">
        <v>68</v>
      </c>
      <c r="Y2">
        <f>IF(X2="Totalmente de Acuerdo",1,IF(X2="Muy de Acuerdo",1,IF(X2="Levemente de Acuerdo",0,IF(X2="Levemente en Desacuerdo",0,IF(X2="Muy en Desacuerdo",-1,IF(X2="Totalmente en Desacuerdo",-1,"error"))))))</f>
        <v>1</v>
      </c>
      <c r="Z2" t="s">
        <v>69</v>
      </c>
      <c r="AA2">
        <f>IF(Z2="Totalmente de Acuerdo",1,IF(Z2="Muy de Acuerdo",1,IF(Z2="Levemente en Acuerdo",0,IF(Z2="Levemente en Desacuerdo",0,IF(Z2="Muy en Desacuerdo",-1,IF(Z2="Totalmente en Desacuerdo",-1,"error"))))))</f>
        <v>-1</v>
      </c>
      <c r="AB2" s="2">
        <f>+SUM(AA2,Y2,W2,U2,S2,Q2,O2,M2)</f>
        <v>3</v>
      </c>
      <c r="AC2" s="2">
        <f t="shared" ref="AC2:AC31" si="0">+AB2*AB$35</f>
        <v>3.375</v>
      </c>
      <c r="AD2" t="s">
        <v>66</v>
      </c>
      <c r="AE2">
        <f>IF(AD2="Totalmente de Acuerdo",1,IF(AD2="Muy de Acuerdo",1,IF(AD2="Levemente de Acuerdo",0,IF(AD2="Levemente en Desacuerdo",0,IF(AD2="Muy en Desacuerdo",-1,IF(AD2="Totalmente en Desacuerdo",-1,"error"))))))</f>
        <v>0</v>
      </c>
      <c r="AF2" t="s">
        <v>68</v>
      </c>
      <c r="AG2">
        <f>IF(AF2="Totalmente de Acuerdo",-1,IF(AF2="Muy de Acuerdo",-1,IF(AF2="Levemente de Acuerdo",0,IF(AF2="Levemente en Desacuerdo",0,IF(AF2="Muy en Desacuerdo",1,IF(AF2="Totalmente en Desacuerdo",1,"error"))))))</f>
        <v>-1</v>
      </c>
      <c r="AH2" t="s">
        <v>66</v>
      </c>
      <c r="AI2">
        <f>IF(AH2="Totalmente de Acuerdo",1,IF(AH2="Muy de Acuerdo",1,IF(AH2="Levemente de Acuerdo",0,IF(AH2="Levemente en Desacuerdo",0,IF(AH2="Muy en Desacuerdo",-1,IF(AH2="Totalmente en Desacuerdo",-1,"error"))))))</f>
        <v>0</v>
      </c>
      <c r="AJ2" t="s">
        <v>66</v>
      </c>
      <c r="AK2">
        <f>IF(AJ2="Totalmente de Acuerdo",1,IF(AJ2="Muy de Acuerdo",1,IF(AJ2="Levemente de Acuerdo",0,IF(AJ2="Levemente en Desacuerdo",0,IF(AJ2="Muy en Desacuerdo",-1,IF(AJ2="Totalmente en Desacuerdo",-1,"error"))))))</f>
        <v>0</v>
      </c>
      <c r="AL2" t="s">
        <v>69</v>
      </c>
      <c r="AM2">
        <f>IF(AL2="Totalmente de Acuerdo",-1,IF(AL2="Muy de Acuerdo",-1,IF(AL2="Levemente de Acuerdo",0,IF(AL2="Levemente en Desacuerdo",0,IF(AL2="Muy en Desacuerdo",1,IF(AL2="Totalmente en Desacuerdo",1,"error"))))))</f>
        <v>1</v>
      </c>
      <c r="AN2" t="s">
        <v>70</v>
      </c>
      <c r="AO2">
        <f>IF(AN2="Totalmente de Acuerdo",-1,IF(AN2="Muy de Acuerdo",-1,IF(AN2="Levemente de Acuerdo",0,IF(AN2="Levemente en Desacuerdo",0,IF(AN2="Muy en Desacuerdo",1,IF(AN2="Totalmente en Desacuerdo",1,"error"))))))</f>
        <v>1</v>
      </c>
      <c r="AP2" t="s">
        <v>69</v>
      </c>
      <c r="AQ2">
        <f>IF(AP2="Totalmente de Acuerdo",-1,IF(AP2="Muy de Acuerdo",-1,IF(AP2="Levemente de Acuerdo",0,IF(AP2="Levemente en Desacuerdo",0,IF(AP2="Muy en Desacuerdo",1,IF(AP2="Totalmente en Desacuerdo",1,"error"))))))</f>
        <v>1</v>
      </c>
      <c r="AR2" t="s">
        <v>68</v>
      </c>
      <c r="AS2">
        <f>IF(AR2="Totalmente de Acuerdo",1,IF(AR2="Muy de Acuerdo",1,IF(AR2="Levemente de Acuerdo",0,IF(AR2="Levemente en Desacuerdo",0,IF(AR2="Muy en Desacuerdo",-1,IF(AR2="Totalmente en Desacuerdo",-1,"error"))))))</f>
        <v>1</v>
      </c>
      <c r="AT2" t="s">
        <v>70</v>
      </c>
      <c r="AU2">
        <f>IF(AT2="Totalmente de Acuerdo",-1,IF(AT2="Muy de Acuerdo",-1,IF(AT2="Levemente de Acuerdo",0,IF(AT2="Levemente en Desacuerdo",0,IF(AT2="Muy en Desacuerdo",1,IF(AT2="Totalmente en Desacuerdo",1,"error"))))))</f>
        <v>1</v>
      </c>
      <c r="AV2" s="2">
        <f>+AU2+AS2+AQ2+AO2+AM2+AK2+AI2+AG2+AE2</f>
        <v>4</v>
      </c>
      <c r="AW2" s="1" t="s">
        <v>132</v>
      </c>
      <c r="AX2" t="s">
        <v>68</v>
      </c>
      <c r="AY2" t="s">
        <v>69</v>
      </c>
      <c r="AZ2" t="s">
        <v>70</v>
      </c>
      <c r="BA2" t="s">
        <v>67</v>
      </c>
      <c r="BB2" t="s">
        <v>70</v>
      </c>
      <c r="BC2" t="s">
        <v>68</v>
      </c>
      <c r="BD2" t="s">
        <v>65</v>
      </c>
      <c r="BE2" t="s">
        <v>65</v>
      </c>
      <c r="BF2" t="s">
        <v>66</v>
      </c>
      <c r="BG2" t="s">
        <v>69</v>
      </c>
      <c r="BH2" t="s">
        <v>67</v>
      </c>
      <c r="BI2" t="s">
        <v>71</v>
      </c>
      <c r="BM2" t="s">
        <v>71</v>
      </c>
      <c r="BY2" t="s">
        <v>72</v>
      </c>
      <c r="BZ2" t="s">
        <v>73</v>
      </c>
      <c r="CA2" t="s">
        <v>73</v>
      </c>
    </row>
    <row r="3" spans="1:80" x14ac:dyDescent="0.25">
      <c r="A3">
        <v>45547.897613912035</v>
      </c>
      <c r="B3" t="s">
        <v>74</v>
      </c>
      <c r="C3">
        <v>1998</v>
      </c>
      <c r="D3" t="s">
        <v>75</v>
      </c>
      <c r="E3" t="s">
        <v>60</v>
      </c>
      <c r="F3" t="s">
        <v>76</v>
      </c>
      <c r="G3" t="s">
        <v>61</v>
      </c>
      <c r="H3" t="s">
        <v>62</v>
      </c>
      <c r="I3" t="s">
        <v>63</v>
      </c>
      <c r="J3" t="s">
        <v>77</v>
      </c>
      <c r="K3" s="1" t="s">
        <v>132</v>
      </c>
      <c r="L3" t="s">
        <v>65</v>
      </c>
      <c r="M3">
        <f t="shared" ref="M3:M35" si="1">IF(L3="Totalmente de Acuerdo",-1,IF(L3="Muy de Acuerdo",-1,IF(L3="Levemente de Acuerdo",0,IF(L3="Levemente en Desacuerdo",0,IF(L3="Muy en Desacuerdo",1,IF(L3="Totalmente en Desacuerdo",1,"error"))))))</f>
        <v>0</v>
      </c>
      <c r="N3" t="s">
        <v>69</v>
      </c>
      <c r="O3">
        <f t="shared" ref="O3:O34" si="2">IF(N3="Totalmente de Acuerdo",1,IF(N3="Muy de Acuerdo",1,IF(N3="Levemente de Acuerdo",0,IF(N3="Levemente en Desacuerdo",0,IF(N3="Muy en Desacuerdo",-1,IF(N3="Totalmente en Desacuerdo",-1,"error"))))))</f>
        <v>-1</v>
      </c>
      <c r="P3" t="s">
        <v>68</v>
      </c>
      <c r="Q3">
        <f t="shared" ref="Q3:Q34" si="3">IF(P3="Totalmente de Acuerdo",-1,IF(P3="Muy de Acuerdo",-1,IF(P3="Levemente de Acuerdo",0,IF(P3="Levemente en Desacuerdo",0,IF(P3="Muy en Desacuerdo",1,IF(P3="Totalmente en Desacuerdo",1,"error"))))))</f>
        <v>-1</v>
      </c>
      <c r="R3" t="s">
        <v>65</v>
      </c>
      <c r="S3">
        <f t="shared" ref="S3:S34" si="4">IF(R3="Totalmente de Acuerdo",1,IF(R3="Muy de Acuerdo",1,IF(R3="Levemente de Acuerdo",0,IF(R3="Levemente en Desacuerdo",0,IF(R3="Muy en Desacuerdo",-1,IF(R3="Totalmente en Desacuerdo",-1,"error"))))))</f>
        <v>0</v>
      </c>
      <c r="T3" t="s">
        <v>66</v>
      </c>
      <c r="U3">
        <f t="shared" ref="U3:U34" si="5">IF(T3="Totalmente de Acuerdo",-1,IF(T3="Muy de Acuerdo",-1,IF(T3="Levemente de Acuerdo",0,IF(T3="Levemente en Desacuerdo",0,IF(T3="Muy en Desacuerdo",1,IF(T3="Totalmente en Desacuerdo",1,"error"))))))</f>
        <v>0</v>
      </c>
      <c r="V3" t="s">
        <v>66</v>
      </c>
      <c r="W3">
        <f t="shared" ref="W3:W34" si="6">IF(V3="Totalmente de Acuerdo",1,IF(V3="Muy de Acuerdo",1,IF(V3="Levemente de Acuerdo",0,IF(V3="Levemente en Desacuerdo",0,IF(V3="Muy en Desacuerdo",-1,IF(V3="Totalmente en Desacuerdo",-1,"error"))))))</f>
        <v>0</v>
      </c>
      <c r="X3" t="s">
        <v>66</v>
      </c>
      <c r="Y3">
        <f>IF(X3="Totalmente de Acuerdo",1,IF(X3="Muy de Acuerdo",1,IF(X3="Levemente de Acuerdo",0,IF(X3="Levemente en Desacuerdo",0,IF(X3="Muy en Desacuerdo",-1,IF(X3="Totalmente en Desacuerdo",-1,"error"))))))</f>
        <v>0</v>
      </c>
      <c r="Z3" t="s">
        <v>69</v>
      </c>
      <c r="AA3">
        <f t="shared" ref="AA3:AA34" si="7">IF(Z3="Totalmente de Acuerdo",1,IF(Z3="Muy de Acuerdo",1,IF(Z3="Levemente en Acuerdo",0,IF(Z3="Levemente en Desacuerdo",0,IF(Z3="Muy en Desacuerdo",-1,IF(Z3="Totalmente en Desacuerdo",-1,"error"))))))</f>
        <v>-1</v>
      </c>
      <c r="AB3" s="2">
        <f t="shared" ref="AB3:AB34" si="8">+SUM(AA3,Y3,W3,U3,S3,Q3,O3,M3)</f>
        <v>-3</v>
      </c>
      <c r="AC3" s="2">
        <f t="shared" si="0"/>
        <v>-3.375</v>
      </c>
      <c r="AD3" t="s">
        <v>65</v>
      </c>
      <c r="AE3">
        <f t="shared" ref="AE3:AE35" si="9">IF(AD3="Totalmente de Acuerdo",1,IF(AD3="Muy de Acuerdo",1,IF(AD3="Levemente de Acuerdo",0,IF(AD3="Levemente en Desacuerdo",0,IF(AD3="Muy en Desacuerdo",-1,IF(AD3="Totalmente en Desacuerdo",-1,"error"))))))</f>
        <v>0</v>
      </c>
      <c r="AF3" t="s">
        <v>65</v>
      </c>
      <c r="AG3">
        <f t="shared" ref="AG3:AG35" si="10">IF(AF3="Totalmente de Acuerdo",-1,IF(AF3="Muy de Acuerdo",-1,IF(AF3="Levemente de Acuerdo",0,IF(AF3="Levemente en Desacuerdo",0,IF(AF3="Muy en Desacuerdo",1,IF(AF3="Totalmente en Desacuerdo",1,"error"))))))</f>
        <v>0</v>
      </c>
      <c r="AH3" t="s">
        <v>70</v>
      </c>
      <c r="AI3">
        <f t="shared" ref="AI3:AI35" si="11">IF(AH3="Totalmente de Acuerdo",1,IF(AH3="Muy de Acuerdo",1,IF(AH3="Levemente de Acuerdo",0,IF(AH3="Levemente en Desacuerdo",0,IF(AH3="Muy en Desacuerdo",-1,IF(AH3="Totalmente en Desacuerdo",-1,"error"))))))</f>
        <v>-1</v>
      </c>
      <c r="AJ3" t="s">
        <v>70</v>
      </c>
      <c r="AK3">
        <f t="shared" ref="AK3:AK35" si="12">IF(AJ3="Totalmente de Acuerdo",1,IF(AJ3="Muy de Acuerdo",1,IF(AJ3="Levemente de Acuerdo",0,IF(AJ3="Levemente en Desacuerdo",0,IF(AJ3="Muy en Desacuerdo",-1,IF(AJ3="Totalmente en Desacuerdo",-1,"error"))))))</f>
        <v>-1</v>
      </c>
      <c r="AL3" t="s">
        <v>67</v>
      </c>
      <c r="AM3">
        <f t="shared" ref="AM3:AM35" si="13">IF(AL3="Totalmente de Acuerdo",-1,IF(AL3="Muy de Acuerdo",-1,IF(AL3="Levemente de Acuerdo",0,IF(AL3="Levemente en Desacuerdo",0,IF(AL3="Muy en Desacuerdo",1,IF(AL3="Totalmente en Desacuerdo",1,"error"))))))</f>
        <v>-1</v>
      </c>
      <c r="AN3" t="s">
        <v>67</v>
      </c>
      <c r="AO3">
        <f t="shared" ref="AO3:AO35" si="14">IF(AN3="Totalmente de Acuerdo",-1,IF(AN3="Muy de Acuerdo",-1,IF(AN3="Levemente de Acuerdo",0,IF(AN3="Levemente en Desacuerdo",0,IF(AN3="Muy en Desacuerdo",1,IF(AN3="Totalmente en Desacuerdo",1,"error"))))))</f>
        <v>-1</v>
      </c>
      <c r="AP3" t="s">
        <v>67</v>
      </c>
      <c r="AQ3">
        <f t="shared" ref="AQ3:AQ35" si="15">IF(AP3="Totalmente de Acuerdo",-1,IF(AP3="Muy de Acuerdo",-1,IF(AP3="Levemente de Acuerdo",0,IF(AP3="Levemente en Desacuerdo",0,IF(AP3="Muy en Desacuerdo",1,IF(AP3="Totalmente en Desacuerdo",1,"error"))))))</f>
        <v>-1</v>
      </c>
      <c r="AR3" t="s">
        <v>70</v>
      </c>
      <c r="AS3">
        <f t="shared" ref="AS3:AS35" si="16">IF(AR3="Totalmente de Acuerdo",1,IF(AR3="Muy de Acuerdo",1,IF(AR3="Levemente de Acuerdo",0,IF(AR3="Levemente en Desacuerdo",0,IF(AR3="Muy en Desacuerdo",-1,IF(AR3="Totalmente en Desacuerdo",-1,"error"))))))</f>
        <v>-1</v>
      </c>
      <c r="AT3" t="s">
        <v>70</v>
      </c>
      <c r="AU3">
        <f t="shared" ref="AU3:AU35" si="17">IF(AT3="Totalmente de Acuerdo",-1,IF(AT3="Muy de Acuerdo",-1,IF(AT3="Levemente de Acuerdo",0,IF(AT3="Levemente en Desacuerdo",0,IF(AT3="Muy en Desacuerdo",1,IF(AT3="Totalmente en Desacuerdo",1,"error"))))))</f>
        <v>1</v>
      </c>
      <c r="AV3" s="2">
        <f t="shared" ref="AV3:AV35" si="18">+AU3+AS3+AQ3+AO3+AM3+AK3+AI3+AG3+AE3</f>
        <v>-5</v>
      </c>
      <c r="AW3" s="1" t="s">
        <v>132</v>
      </c>
      <c r="AX3" t="s">
        <v>70</v>
      </c>
      <c r="AY3" t="s">
        <v>65</v>
      </c>
      <c r="AZ3" t="s">
        <v>65</v>
      </c>
      <c r="BA3" t="s">
        <v>65</v>
      </c>
      <c r="BB3" t="s">
        <v>66</v>
      </c>
      <c r="BC3" t="s">
        <v>69</v>
      </c>
      <c r="BD3" t="s">
        <v>69</v>
      </c>
      <c r="BE3" t="s">
        <v>66</v>
      </c>
      <c r="BF3" t="s">
        <v>66</v>
      </c>
      <c r="BG3" t="s">
        <v>67</v>
      </c>
      <c r="BH3" t="s">
        <v>65</v>
      </c>
      <c r="BK3" t="s">
        <v>71</v>
      </c>
      <c r="BL3" t="s">
        <v>71</v>
      </c>
      <c r="BY3" t="s">
        <v>78</v>
      </c>
      <c r="BZ3" t="s">
        <v>79</v>
      </c>
      <c r="CA3" t="s">
        <v>79</v>
      </c>
    </row>
    <row r="4" spans="1:80" x14ac:dyDescent="0.25">
      <c r="A4">
        <v>45547.897886388891</v>
      </c>
      <c r="B4" t="s">
        <v>80</v>
      </c>
      <c r="C4">
        <v>2003</v>
      </c>
      <c r="D4" t="s">
        <v>81</v>
      </c>
      <c r="E4" t="s">
        <v>60</v>
      </c>
      <c r="F4" t="s">
        <v>61</v>
      </c>
      <c r="G4" t="s">
        <v>82</v>
      </c>
      <c r="H4" t="s">
        <v>83</v>
      </c>
      <c r="I4" t="s">
        <v>63</v>
      </c>
      <c r="J4" t="s">
        <v>64</v>
      </c>
      <c r="K4" s="1" t="s">
        <v>132</v>
      </c>
      <c r="L4" t="s">
        <v>66</v>
      </c>
      <c r="M4">
        <f t="shared" si="1"/>
        <v>0</v>
      </c>
      <c r="N4" t="s">
        <v>69</v>
      </c>
      <c r="O4">
        <f t="shared" si="2"/>
        <v>-1</v>
      </c>
      <c r="P4" t="s">
        <v>67</v>
      </c>
      <c r="Q4">
        <f t="shared" si="3"/>
        <v>-1</v>
      </c>
      <c r="R4" t="s">
        <v>68</v>
      </c>
      <c r="S4">
        <f t="shared" si="4"/>
        <v>1</v>
      </c>
      <c r="T4" t="s">
        <v>65</v>
      </c>
      <c r="U4">
        <f t="shared" si="5"/>
        <v>0</v>
      </c>
      <c r="V4" t="s">
        <v>68</v>
      </c>
      <c r="W4">
        <f t="shared" si="6"/>
        <v>1</v>
      </c>
      <c r="X4" t="s">
        <v>67</v>
      </c>
      <c r="Y4">
        <f t="shared" ref="Y4:Y34" si="19">IF(X4="Totalmente de Acuerdo",1,IF(X4="Muy de Acuerdo",1,IF(X4="Levemente de Acuerdo",0,IF(X4="Levemente en Desacuerdo",0,IF(X4="Muy en Desacuerdo",-1,IF(X4="Totalmente en Desacuerdo",-1,"error"))))))</f>
        <v>1</v>
      </c>
      <c r="Z4" t="s">
        <v>69</v>
      </c>
      <c r="AA4">
        <f t="shared" si="7"/>
        <v>-1</v>
      </c>
      <c r="AB4" s="2">
        <f t="shared" si="8"/>
        <v>0</v>
      </c>
      <c r="AC4" s="2">
        <f t="shared" si="0"/>
        <v>0</v>
      </c>
      <c r="AD4" t="s">
        <v>68</v>
      </c>
      <c r="AE4">
        <f t="shared" si="9"/>
        <v>1</v>
      </c>
      <c r="AF4" t="s">
        <v>68</v>
      </c>
      <c r="AG4">
        <f t="shared" si="10"/>
        <v>-1</v>
      </c>
      <c r="AH4" t="s">
        <v>65</v>
      </c>
      <c r="AI4">
        <f t="shared" si="11"/>
        <v>0</v>
      </c>
      <c r="AJ4" t="s">
        <v>70</v>
      </c>
      <c r="AK4">
        <f t="shared" si="12"/>
        <v>-1</v>
      </c>
      <c r="AL4" t="s">
        <v>66</v>
      </c>
      <c r="AM4">
        <f t="shared" si="13"/>
        <v>0</v>
      </c>
      <c r="AN4" t="s">
        <v>70</v>
      </c>
      <c r="AO4">
        <f t="shared" si="14"/>
        <v>1</v>
      </c>
      <c r="AP4" t="s">
        <v>70</v>
      </c>
      <c r="AQ4">
        <f t="shared" si="15"/>
        <v>1</v>
      </c>
      <c r="AR4" t="s">
        <v>66</v>
      </c>
      <c r="AS4">
        <f t="shared" si="16"/>
        <v>0</v>
      </c>
      <c r="AT4" t="s">
        <v>69</v>
      </c>
      <c r="AU4">
        <f t="shared" si="17"/>
        <v>1</v>
      </c>
      <c r="AV4" s="2">
        <f t="shared" si="18"/>
        <v>2</v>
      </c>
      <c r="AW4" s="1" t="s">
        <v>132</v>
      </c>
      <c r="AX4" t="s">
        <v>66</v>
      </c>
      <c r="AY4" t="s">
        <v>67</v>
      </c>
      <c r="AZ4" t="s">
        <v>70</v>
      </c>
      <c r="BA4" t="s">
        <v>67</v>
      </c>
      <c r="BB4" t="s">
        <v>65</v>
      </c>
      <c r="BC4" t="s">
        <v>65</v>
      </c>
      <c r="BD4" t="s">
        <v>65</v>
      </c>
      <c r="BE4" t="s">
        <v>68</v>
      </c>
      <c r="BF4" t="s">
        <v>67</v>
      </c>
      <c r="BG4" t="s">
        <v>66</v>
      </c>
      <c r="BH4" t="s">
        <v>67</v>
      </c>
      <c r="BI4" t="s">
        <v>71</v>
      </c>
      <c r="BM4" t="s">
        <v>71</v>
      </c>
      <c r="BN4" t="s">
        <v>71</v>
      </c>
      <c r="BY4" t="s">
        <v>73</v>
      </c>
      <c r="BZ4" t="s">
        <v>73</v>
      </c>
      <c r="CA4" t="s">
        <v>73</v>
      </c>
    </row>
    <row r="5" spans="1:80" x14ac:dyDescent="0.25">
      <c r="A5">
        <v>45547.899384074073</v>
      </c>
      <c r="B5" t="s">
        <v>84</v>
      </c>
      <c r="C5">
        <v>2001</v>
      </c>
      <c r="D5" t="s">
        <v>59</v>
      </c>
      <c r="E5" t="s">
        <v>60</v>
      </c>
      <c r="F5" t="s">
        <v>76</v>
      </c>
      <c r="G5" t="s">
        <v>76</v>
      </c>
      <c r="H5" t="s">
        <v>83</v>
      </c>
      <c r="I5" t="s">
        <v>63</v>
      </c>
      <c r="J5" t="s">
        <v>64</v>
      </c>
      <c r="K5" s="1" t="s">
        <v>132</v>
      </c>
      <c r="L5" t="s">
        <v>67</v>
      </c>
      <c r="M5">
        <f t="shared" si="1"/>
        <v>-1</v>
      </c>
      <c r="N5" t="s">
        <v>65</v>
      </c>
      <c r="O5">
        <f t="shared" si="2"/>
        <v>0</v>
      </c>
      <c r="P5" t="s">
        <v>65</v>
      </c>
      <c r="Q5">
        <f t="shared" si="3"/>
        <v>0</v>
      </c>
      <c r="R5" t="s">
        <v>65</v>
      </c>
      <c r="S5">
        <f t="shared" si="4"/>
        <v>0</v>
      </c>
      <c r="T5" t="s">
        <v>67</v>
      </c>
      <c r="U5">
        <f t="shared" si="5"/>
        <v>-1</v>
      </c>
      <c r="V5" t="s">
        <v>67</v>
      </c>
      <c r="W5">
        <f t="shared" si="6"/>
        <v>1</v>
      </c>
      <c r="X5" t="s">
        <v>67</v>
      </c>
      <c r="Y5">
        <f t="shared" si="19"/>
        <v>1</v>
      </c>
      <c r="Z5" t="s">
        <v>85</v>
      </c>
      <c r="AA5">
        <f t="shared" si="7"/>
        <v>0</v>
      </c>
      <c r="AB5" s="2">
        <f t="shared" si="8"/>
        <v>0</v>
      </c>
      <c r="AC5" s="2">
        <f t="shared" si="0"/>
        <v>0</v>
      </c>
      <c r="AD5" t="s">
        <v>65</v>
      </c>
      <c r="AE5">
        <f t="shared" si="9"/>
        <v>0</v>
      </c>
      <c r="AF5" t="s">
        <v>68</v>
      </c>
      <c r="AG5">
        <f t="shared" si="10"/>
        <v>-1</v>
      </c>
      <c r="AH5" t="s">
        <v>67</v>
      </c>
      <c r="AI5">
        <f t="shared" si="11"/>
        <v>1</v>
      </c>
      <c r="AJ5" t="s">
        <v>70</v>
      </c>
      <c r="AK5">
        <f t="shared" si="12"/>
        <v>-1</v>
      </c>
      <c r="AL5" t="s">
        <v>67</v>
      </c>
      <c r="AM5">
        <f t="shared" si="13"/>
        <v>-1</v>
      </c>
      <c r="AN5" t="s">
        <v>66</v>
      </c>
      <c r="AO5">
        <f t="shared" si="14"/>
        <v>0</v>
      </c>
      <c r="AP5" t="s">
        <v>66</v>
      </c>
      <c r="AQ5">
        <f t="shared" si="15"/>
        <v>0</v>
      </c>
      <c r="AR5" t="s">
        <v>67</v>
      </c>
      <c r="AS5">
        <f t="shared" si="16"/>
        <v>1</v>
      </c>
      <c r="AT5" t="s">
        <v>66</v>
      </c>
      <c r="AU5">
        <f t="shared" si="17"/>
        <v>0</v>
      </c>
      <c r="AV5" s="2">
        <f t="shared" si="18"/>
        <v>-1</v>
      </c>
      <c r="AW5" s="1" t="s">
        <v>132</v>
      </c>
      <c r="AX5" t="s">
        <v>65</v>
      </c>
      <c r="AY5" t="s">
        <v>65</v>
      </c>
      <c r="AZ5" t="s">
        <v>66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67</v>
      </c>
      <c r="BG5" t="s">
        <v>67</v>
      </c>
      <c r="BH5" t="s">
        <v>67</v>
      </c>
      <c r="BN5" t="s">
        <v>71</v>
      </c>
      <c r="BY5" t="s">
        <v>73</v>
      </c>
      <c r="BZ5" t="s">
        <v>73</v>
      </c>
      <c r="CA5" t="s">
        <v>73</v>
      </c>
    </row>
    <row r="6" spans="1:80" x14ac:dyDescent="0.25">
      <c r="A6">
        <v>45547.89947956019</v>
      </c>
      <c r="B6" t="s">
        <v>86</v>
      </c>
      <c r="C6">
        <v>2000</v>
      </c>
      <c r="D6" t="s">
        <v>59</v>
      </c>
      <c r="E6" t="s">
        <v>60</v>
      </c>
      <c r="F6" t="s">
        <v>61</v>
      </c>
      <c r="G6" t="s">
        <v>76</v>
      </c>
      <c r="H6" t="s">
        <v>83</v>
      </c>
      <c r="I6" t="s">
        <v>63</v>
      </c>
      <c r="J6" t="s">
        <v>77</v>
      </c>
      <c r="K6" s="1" t="s">
        <v>132</v>
      </c>
      <c r="L6" t="s">
        <v>66</v>
      </c>
      <c r="M6">
        <f t="shared" si="1"/>
        <v>0</v>
      </c>
      <c r="N6" t="s">
        <v>66</v>
      </c>
      <c r="O6">
        <f t="shared" si="2"/>
        <v>0</v>
      </c>
      <c r="P6" t="s">
        <v>67</v>
      </c>
      <c r="Q6">
        <f t="shared" si="3"/>
        <v>-1</v>
      </c>
      <c r="R6" t="s">
        <v>67</v>
      </c>
      <c r="S6">
        <f t="shared" si="4"/>
        <v>1</v>
      </c>
      <c r="T6" t="s">
        <v>65</v>
      </c>
      <c r="U6">
        <f t="shared" si="5"/>
        <v>0</v>
      </c>
      <c r="V6" t="s">
        <v>66</v>
      </c>
      <c r="W6">
        <f t="shared" si="6"/>
        <v>0</v>
      </c>
      <c r="X6" t="s">
        <v>65</v>
      </c>
      <c r="Y6">
        <f t="shared" si="19"/>
        <v>0</v>
      </c>
      <c r="Z6" t="s">
        <v>69</v>
      </c>
      <c r="AA6">
        <f t="shared" si="7"/>
        <v>-1</v>
      </c>
      <c r="AB6" s="2">
        <f t="shared" si="8"/>
        <v>-1</v>
      </c>
      <c r="AC6" s="2">
        <f t="shared" si="0"/>
        <v>-1.125</v>
      </c>
      <c r="AD6" t="s">
        <v>69</v>
      </c>
      <c r="AE6">
        <f t="shared" si="9"/>
        <v>-1</v>
      </c>
      <c r="AF6" t="s">
        <v>66</v>
      </c>
      <c r="AG6">
        <f t="shared" si="10"/>
        <v>0</v>
      </c>
      <c r="AH6" t="s">
        <v>66</v>
      </c>
      <c r="AI6">
        <f t="shared" si="11"/>
        <v>0</v>
      </c>
      <c r="AJ6" t="s">
        <v>70</v>
      </c>
      <c r="AK6">
        <f t="shared" si="12"/>
        <v>-1</v>
      </c>
      <c r="AL6" t="s">
        <v>67</v>
      </c>
      <c r="AM6">
        <f t="shared" si="13"/>
        <v>-1</v>
      </c>
      <c r="AN6" t="s">
        <v>65</v>
      </c>
      <c r="AO6">
        <f t="shared" si="14"/>
        <v>0</v>
      </c>
      <c r="AP6" t="s">
        <v>69</v>
      </c>
      <c r="AQ6">
        <f t="shared" si="15"/>
        <v>1</v>
      </c>
      <c r="AR6" t="s">
        <v>67</v>
      </c>
      <c r="AS6">
        <f t="shared" si="16"/>
        <v>1</v>
      </c>
      <c r="AT6" t="s">
        <v>65</v>
      </c>
      <c r="AU6">
        <f t="shared" si="17"/>
        <v>0</v>
      </c>
      <c r="AV6" s="2">
        <f t="shared" si="18"/>
        <v>-1</v>
      </c>
      <c r="AW6" s="1" t="s">
        <v>132</v>
      </c>
      <c r="AX6" t="s">
        <v>66</v>
      </c>
      <c r="AY6" t="s">
        <v>67</v>
      </c>
      <c r="AZ6" t="s">
        <v>69</v>
      </c>
      <c r="BA6" t="s">
        <v>65</v>
      </c>
      <c r="BB6" t="s">
        <v>69</v>
      </c>
      <c r="BC6" t="s">
        <v>69</v>
      </c>
      <c r="BD6" t="s">
        <v>69</v>
      </c>
      <c r="BE6" t="s">
        <v>69</v>
      </c>
      <c r="BF6" t="s">
        <v>67</v>
      </c>
      <c r="BG6" t="s">
        <v>65</v>
      </c>
      <c r="BH6" t="s">
        <v>66</v>
      </c>
      <c r="BK6" t="s">
        <v>71</v>
      </c>
      <c r="BY6" t="s">
        <v>87</v>
      </c>
      <c r="BZ6" t="s">
        <v>79</v>
      </c>
      <c r="CA6" t="s">
        <v>79</v>
      </c>
    </row>
    <row r="7" spans="1:80" x14ac:dyDescent="0.25">
      <c r="A7">
        <v>45547.899490775468</v>
      </c>
      <c r="B7" t="s">
        <v>88</v>
      </c>
      <c r="C7">
        <v>1997</v>
      </c>
      <c r="D7" t="s">
        <v>75</v>
      </c>
      <c r="E7" t="s">
        <v>60</v>
      </c>
      <c r="F7" t="s">
        <v>76</v>
      </c>
      <c r="G7" t="s">
        <v>61</v>
      </c>
      <c r="H7" t="s">
        <v>83</v>
      </c>
      <c r="I7" t="s">
        <v>89</v>
      </c>
      <c r="J7" t="s">
        <v>90</v>
      </c>
      <c r="K7" s="1" t="s">
        <v>132</v>
      </c>
      <c r="L7" t="s">
        <v>70</v>
      </c>
      <c r="M7">
        <f t="shared" si="1"/>
        <v>1</v>
      </c>
      <c r="N7" t="s">
        <v>67</v>
      </c>
      <c r="O7">
        <f t="shared" si="2"/>
        <v>1</v>
      </c>
      <c r="P7" t="s">
        <v>68</v>
      </c>
      <c r="Q7">
        <f t="shared" si="3"/>
        <v>-1</v>
      </c>
      <c r="R7" t="s">
        <v>68</v>
      </c>
      <c r="S7">
        <f t="shared" si="4"/>
        <v>1</v>
      </c>
      <c r="T7" t="s">
        <v>70</v>
      </c>
      <c r="U7">
        <f t="shared" si="5"/>
        <v>1</v>
      </c>
      <c r="V7" t="s">
        <v>68</v>
      </c>
      <c r="W7">
        <f t="shared" si="6"/>
        <v>1</v>
      </c>
      <c r="X7" t="s">
        <v>69</v>
      </c>
      <c r="Y7">
        <f t="shared" si="19"/>
        <v>-1</v>
      </c>
      <c r="Z7" t="s">
        <v>69</v>
      </c>
      <c r="AA7">
        <f t="shared" si="7"/>
        <v>-1</v>
      </c>
      <c r="AB7" s="2">
        <f t="shared" si="8"/>
        <v>2</v>
      </c>
      <c r="AC7" s="2">
        <f t="shared" si="0"/>
        <v>2.25</v>
      </c>
      <c r="AD7" t="s">
        <v>70</v>
      </c>
      <c r="AE7">
        <f t="shared" si="9"/>
        <v>-1</v>
      </c>
      <c r="AF7" t="s">
        <v>68</v>
      </c>
      <c r="AG7">
        <f t="shared" si="10"/>
        <v>-1</v>
      </c>
      <c r="AH7" t="s">
        <v>69</v>
      </c>
      <c r="AI7">
        <f t="shared" si="11"/>
        <v>-1</v>
      </c>
      <c r="AJ7" t="s">
        <v>70</v>
      </c>
      <c r="AK7">
        <f t="shared" si="12"/>
        <v>-1</v>
      </c>
      <c r="AL7" t="s">
        <v>65</v>
      </c>
      <c r="AM7">
        <f t="shared" si="13"/>
        <v>0</v>
      </c>
      <c r="AN7" t="s">
        <v>70</v>
      </c>
      <c r="AO7">
        <f t="shared" si="14"/>
        <v>1</v>
      </c>
      <c r="AP7" t="s">
        <v>68</v>
      </c>
      <c r="AQ7">
        <f t="shared" si="15"/>
        <v>-1</v>
      </c>
      <c r="AR7" t="s">
        <v>68</v>
      </c>
      <c r="AS7">
        <f t="shared" si="16"/>
        <v>1</v>
      </c>
      <c r="AT7" t="s">
        <v>70</v>
      </c>
      <c r="AU7">
        <f t="shared" si="17"/>
        <v>1</v>
      </c>
      <c r="AV7" s="2">
        <f t="shared" si="18"/>
        <v>-2</v>
      </c>
      <c r="AW7" s="1" t="s">
        <v>132</v>
      </c>
      <c r="AX7" t="s">
        <v>68</v>
      </c>
      <c r="AY7" t="s">
        <v>67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68</v>
      </c>
      <c r="BH7" t="s">
        <v>68</v>
      </c>
      <c r="BI7" t="s">
        <v>71</v>
      </c>
      <c r="BN7" t="s">
        <v>71</v>
      </c>
      <c r="BY7" t="s">
        <v>72</v>
      </c>
      <c r="BZ7" t="s">
        <v>72</v>
      </c>
      <c r="CA7" t="s">
        <v>73</v>
      </c>
    </row>
    <row r="8" spans="1:80" x14ac:dyDescent="0.25">
      <c r="A8">
        <v>45547.899888159722</v>
      </c>
      <c r="B8" t="s">
        <v>91</v>
      </c>
      <c r="C8">
        <v>2003</v>
      </c>
      <c r="D8" t="s">
        <v>59</v>
      </c>
      <c r="E8" t="s">
        <v>60</v>
      </c>
      <c r="F8" t="s">
        <v>92</v>
      </c>
      <c r="G8" t="s">
        <v>82</v>
      </c>
      <c r="H8" t="s">
        <v>93</v>
      </c>
      <c r="I8" t="s">
        <v>63</v>
      </c>
      <c r="J8" t="s">
        <v>64</v>
      </c>
      <c r="K8" s="1" t="s">
        <v>132</v>
      </c>
      <c r="L8" t="s">
        <v>65</v>
      </c>
      <c r="M8">
        <f t="shared" si="1"/>
        <v>0</v>
      </c>
      <c r="N8" t="s">
        <v>65</v>
      </c>
      <c r="O8">
        <f t="shared" si="2"/>
        <v>0</v>
      </c>
      <c r="P8" t="s">
        <v>67</v>
      </c>
      <c r="Q8">
        <f t="shared" si="3"/>
        <v>-1</v>
      </c>
      <c r="R8" t="s">
        <v>65</v>
      </c>
      <c r="S8">
        <f t="shared" si="4"/>
        <v>0</v>
      </c>
      <c r="T8" t="s">
        <v>65</v>
      </c>
      <c r="U8">
        <f t="shared" si="5"/>
        <v>0</v>
      </c>
      <c r="V8" t="s">
        <v>68</v>
      </c>
      <c r="W8">
        <f t="shared" si="6"/>
        <v>1</v>
      </c>
      <c r="X8" t="s">
        <v>65</v>
      </c>
      <c r="Y8">
        <f t="shared" si="19"/>
        <v>0</v>
      </c>
      <c r="Z8" t="s">
        <v>69</v>
      </c>
      <c r="AA8">
        <f t="shared" si="7"/>
        <v>-1</v>
      </c>
      <c r="AB8" s="2">
        <f t="shared" si="8"/>
        <v>-1</v>
      </c>
      <c r="AC8" s="2">
        <f t="shared" si="0"/>
        <v>-1.125</v>
      </c>
      <c r="AD8" t="s">
        <v>69</v>
      </c>
      <c r="AE8">
        <f t="shared" si="9"/>
        <v>-1</v>
      </c>
      <c r="AF8" t="s">
        <v>67</v>
      </c>
      <c r="AG8">
        <f t="shared" si="10"/>
        <v>-1</v>
      </c>
      <c r="AH8" t="s">
        <v>65</v>
      </c>
      <c r="AI8">
        <f t="shared" si="11"/>
        <v>0</v>
      </c>
      <c r="AJ8" t="s">
        <v>70</v>
      </c>
      <c r="AK8">
        <f t="shared" si="12"/>
        <v>-1</v>
      </c>
      <c r="AL8" t="s">
        <v>68</v>
      </c>
      <c r="AM8">
        <f t="shared" si="13"/>
        <v>-1</v>
      </c>
      <c r="AN8" t="s">
        <v>69</v>
      </c>
      <c r="AO8">
        <f t="shared" si="14"/>
        <v>1</v>
      </c>
      <c r="AP8" t="s">
        <v>67</v>
      </c>
      <c r="AQ8">
        <f t="shared" si="15"/>
        <v>-1</v>
      </c>
      <c r="AR8" t="s">
        <v>69</v>
      </c>
      <c r="AS8">
        <f t="shared" si="16"/>
        <v>-1</v>
      </c>
      <c r="AT8" t="s">
        <v>70</v>
      </c>
      <c r="AU8">
        <f t="shared" si="17"/>
        <v>1</v>
      </c>
      <c r="AV8" s="2">
        <f t="shared" si="18"/>
        <v>-4</v>
      </c>
      <c r="AW8" s="1" t="s">
        <v>132</v>
      </c>
      <c r="AX8" t="s">
        <v>68</v>
      </c>
      <c r="AY8" t="s">
        <v>66</v>
      </c>
      <c r="AZ8" t="s">
        <v>65</v>
      </c>
      <c r="BA8" t="s">
        <v>67</v>
      </c>
      <c r="BB8" t="s">
        <v>65</v>
      </c>
      <c r="BC8" t="s">
        <v>67</v>
      </c>
      <c r="BD8" t="s">
        <v>67</v>
      </c>
      <c r="BE8" t="s">
        <v>67</v>
      </c>
      <c r="BF8" t="s">
        <v>67</v>
      </c>
      <c r="BG8" t="s">
        <v>66</v>
      </c>
      <c r="BH8" t="s">
        <v>69</v>
      </c>
      <c r="BI8" t="s">
        <v>71</v>
      </c>
      <c r="BK8" t="s">
        <v>71</v>
      </c>
      <c r="BL8" t="s">
        <v>71</v>
      </c>
      <c r="BN8" t="s">
        <v>71</v>
      </c>
      <c r="BS8" t="s">
        <v>71</v>
      </c>
      <c r="BY8" t="s">
        <v>72</v>
      </c>
      <c r="BZ8" t="s">
        <v>73</v>
      </c>
      <c r="CA8" t="s">
        <v>73</v>
      </c>
    </row>
    <row r="9" spans="1:80" x14ac:dyDescent="0.25">
      <c r="A9">
        <v>45547.900090775467</v>
      </c>
      <c r="B9" t="s">
        <v>94</v>
      </c>
      <c r="C9">
        <v>2000</v>
      </c>
      <c r="D9" t="s">
        <v>59</v>
      </c>
      <c r="E9" t="s">
        <v>95</v>
      </c>
      <c r="F9" t="s">
        <v>76</v>
      </c>
      <c r="G9" t="s">
        <v>96</v>
      </c>
      <c r="H9" t="s">
        <v>83</v>
      </c>
      <c r="I9" t="s">
        <v>89</v>
      </c>
      <c r="J9" t="s">
        <v>90</v>
      </c>
      <c r="K9" s="1" t="s">
        <v>132</v>
      </c>
      <c r="L9" t="s">
        <v>67</v>
      </c>
      <c r="M9">
        <f t="shared" si="1"/>
        <v>-1</v>
      </c>
      <c r="N9" t="s">
        <v>66</v>
      </c>
      <c r="O9">
        <f t="shared" si="2"/>
        <v>0</v>
      </c>
      <c r="P9" t="s">
        <v>67</v>
      </c>
      <c r="Q9">
        <f t="shared" si="3"/>
        <v>-1</v>
      </c>
      <c r="R9" t="s">
        <v>67</v>
      </c>
      <c r="S9">
        <f t="shared" si="4"/>
        <v>1</v>
      </c>
      <c r="T9" t="s">
        <v>69</v>
      </c>
      <c r="U9">
        <f t="shared" si="5"/>
        <v>1</v>
      </c>
      <c r="V9" t="s">
        <v>67</v>
      </c>
      <c r="W9">
        <f t="shared" si="6"/>
        <v>1</v>
      </c>
      <c r="X9" t="s">
        <v>66</v>
      </c>
      <c r="Y9">
        <f t="shared" si="19"/>
        <v>0</v>
      </c>
      <c r="Z9" t="s">
        <v>69</v>
      </c>
      <c r="AA9">
        <f t="shared" si="7"/>
        <v>-1</v>
      </c>
      <c r="AB9" s="2">
        <f t="shared" si="8"/>
        <v>0</v>
      </c>
      <c r="AC9" s="2">
        <f t="shared" si="0"/>
        <v>0</v>
      </c>
      <c r="AD9" t="s">
        <v>69</v>
      </c>
      <c r="AE9">
        <f t="shared" si="9"/>
        <v>-1</v>
      </c>
      <c r="AF9" t="s">
        <v>67</v>
      </c>
      <c r="AG9">
        <f t="shared" si="10"/>
        <v>-1</v>
      </c>
      <c r="AH9" t="s">
        <v>66</v>
      </c>
      <c r="AI9">
        <f t="shared" si="11"/>
        <v>0</v>
      </c>
      <c r="AJ9" t="s">
        <v>65</v>
      </c>
      <c r="AK9">
        <f t="shared" si="12"/>
        <v>0</v>
      </c>
      <c r="AL9" t="s">
        <v>68</v>
      </c>
      <c r="AM9">
        <f t="shared" si="13"/>
        <v>-1</v>
      </c>
      <c r="AN9" t="s">
        <v>65</v>
      </c>
      <c r="AO9">
        <f t="shared" si="14"/>
        <v>0</v>
      </c>
      <c r="AP9" t="s">
        <v>67</v>
      </c>
      <c r="AQ9">
        <f t="shared" si="15"/>
        <v>-1</v>
      </c>
      <c r="AR9" t="s">
        <v>68</v>
      </c>
      <c r="AS9">
        <f t="shared" si="16"/>
        <v>1</v>
      </c>
      <c r="AT9" t="s">
        <v>69</v>
      </c>
      <c r="AU9">
        <f t="shared" si="17"/>
        <v>1</v>
      </c>
      <c r="AV9" s="2">
        <f t="shared" si="18"/>
        <v>-2</v>
      </c>
      <c r="AW9" s="1" t="s">
        <v>132</v>
      </c>
      <c r="AX9" t="s">
        <v>65</v>
      </c>
      <c r="AY9" t="s">
        <v>66</v>
      </c>
      <c r="AZ9" t="s">
        <v>66</v>
      </c>
      <c r="BA9" t="s">
        <v>67</v>
      </c>
      <c r="BB9" t="s">
        <v>67</v>
      </c>
      <c r="BC9" t="s">
        <v>65</v>
      </c>
      <c r="BD9" t="s">
        <v>65</v>
      </c>
      <c r="BE9" t="s">
        <v>67</v>
      </c>
      <c r="BF9" t="s">
        <v>69</v>
      </c>
      <c r="BG9" t="s">
        <v>68</v>
      </c>
      <c r="BH9" t="s">
        <v>67</v>
      </c>
      <c r="BK9" t="s">
        <v>71</v>
      </c>
      <c r="BW9" t="s">
        <v>71</v>
      </c>
      <c r="BY9" t="s">
        <v>97</v>
      </c>
      <c r="BZ9" t="s">
        <v>97</v>
      </c>
      <c r="CA9" t="s">
        <v>98</v>
      </c>
    </row>
    <row r="10" spans="1:80" x14ac:dyDescent="0.25">
      <c r="A10">
        <v>45547.900143368053</v>
      </c>
      <c r="B10" t="s">
        <v>99</v>
      </c>
      <c r="C10">
        <v>2002</v>
      </c>
      <c r="D10" t="s">
        <v>75</v>
      </c>
      <c r="E10" t="s">
        <v>60</v>
      </c>
      <c r="F10" t="s">
        <v>61</v>
      </c>
      <c r="G10" t="s">
        <v>61</v>
      </c>
      <c r="H10" t="s">
        <v>83</v>
      </c>
      <c r="I10" t="s">
        <v>63</v>
      </c>
      <c r="J10" t="s">
        <v>90</v>
      </c>
      <c r="K10" s="1" t="s">
        <v>132</v>
      </c>
      <c r="L10" t="s">
        <v>67</v>
      </c>
      <c r="M10">
        <f t="shared" si="1"/>
        <v>-1</v>
      </c>
      <c r="N10" t="s">
        <v>69</v>
      </c>
      <c r="O10">
        <f t="shared" si="2"/>
        <v>-1</v>
      </c>
      <c r="P10" t="s">
        <v>68</v>
      </c>
      <c r="Q10">
        <f t="shared" si="3"/>
        <v>-1</v>
      </c>
      <c r="R10" t="s">
        <v>65</v>
      </c>
      <c r="S10">
        <f t="shared" si="4"/>
        <v>0</v>
      </c>
      <c r="T10" t="s">
        <v>66</v>
      </c>
      <c r="U10">
        <f t="shared" si="5"/>
        <v>0</v>
      </c>
      <c r="V10" t="s">
        <v>65</v>
      </c>
      <c r="W10">
        <f t="shared" si="6"/>
        <v>0</v>
      </c>
      <c r="X10" t="s">
        <v>69</v>
      </c>
      <c r="Y10">
        <f t="shared" si="19"/>
        <v>-1</v>
      </c>
      <c r="Z10" t="s">
        <v>70</v>
      </c>
      <c r="AA10">
        <f t="shared" si="7"/>
        <v>-1</v>
      </c>
      <c r="AB10" s="2">
        <f t="shared" si="8"/>
        <v>-5</v>
      </c>
      <c r="AC10" s="2">
        <f t="shared" si="0"/>
        <v>-5.625</v>
      </c>
      <c r="AD10" t="s">
        <v>70</v>
      </c>
      <c r="AE10">
        <f t="shared" si="9"/>
        <v>-1</v>
      </c>
      <c r="AF10" t="s">
        <v>67</v>
      </c>
      <c r="AG10">
        <f t="shared" si="10"/>
        <v>-1</v>
      </c>
      <c r="AH10" t="s">
        <v>66</v>
      </c>
      <c r="AI10">
        <f t="shared" si="11"/>
        <v>0</v>
      </c>
      <c r="AJ10" t="s">
        <v>70</v>
      </c>
      <c r="AK10">
        <f t="shared" si="12"/>
        <v>-1</v>
      </c>
      <c r="AL10" t="s">
        <v>68</v>
      </c>
      <c r="AM10">
        <f t="shared" si="13"/>
        <v>-1</v>
      </c>
      <c r="AN10" t="s">
        <v>67</v>
      </c>
      <c r="AO10">
        <f t="shared" si="14"/>
        <v>-1</v>
      </c>
      <c r="AP10" t="s">
        <v>69</v>
      </c>
      <c r="AQ10">
        <f t="shared" si="15"/>
        <v>1</v>
      </c>
      <c r="AR10" t="s">
        <v>65</v>
      </c>
      <c r="AS10">
        <f t="shared" si="16"/>
        <v>0</v>
      </c>
      <c r="AT10" t="s">
        <v>70</v>
      </c>
      <c r="AU10">
        <f t="shared" si="17"/>
        <v>1</v>
      </c>
      <c r="AV10" s="2">
        <f t="shared" si="18"/>
        <v>-3</v>
      </c>
      <c r="AW10" s="1" t="s">
        <v>132</v>
      </c>
      <c r="AX10" t="s">
        <v>66</v>
      </c>
      <c r="AY10" t="s">
        <v>65</v>
      </c>
      <c r="AZ10" t="s">
        <v>65</v>
      </c>
      <c r="BA10" t="s">
        <v>67</v>
      </c>
      <c r="BB10" t="s">
        <v>65</v>
      </c>
      <c r="BC10" t="s">
        <v>66</v>
      </c>
      <c r="BD10" t="s">
        <v>66</v>
      </c>
      <c r="BE10" t="s">
        <v>66</v>
      </c>
      <c r="BF10" t="s">
        <v>69</v>
      </c>
      <c r="BG10" t="s">
        <v>68</v>
      </c>
      <c r="BH10" t="s">
        <v>70</v>
      </c>
      <c r="BK10" t="s">
        <v>71</v>
      </c>
      <c r="BY10" t="s">
        <v>73</v>
      </c>
      <c r="BZ10" t="s">
        <v>73</v>
      </c>
      <c r="CA10" t="s">
        <v>73</v>
      </c>
    </row>
    <row r="11" spans="1:80" x14ac:dyDescent="0.25">
      <c r="A11">
        <v>45547.900196527778</v>
      </c>
      <c r="B11" t="s">
        <v>100</v>
      </c>
      <c r="C11">
        <v>2000</v>
      </c>
      <c r="D11" t="s">
        <v>59</v>
      </c>
      <c r="E11" t="s">
        <v>95</v>
      </c>
      <c r="F11" t="s">
        <v>96</v>
      </c>
      <c r="G11" t="s">
        <v>76</v>
      </c>
      <c r="H11" t="s">
        <v>83</v>
      </c>
      <c r="I11" t="s">
        <v>63</v>
      </c>
      <c r="J11" t="s">
        <v>90</v>
      </c>
      <c r="K11" s="1" t="s">
        <v>132</v>
      </c>
      <c r="L11" t="s">
        <v>70</v>
      </c>
      <c r="M11">
        <f t="shared" si="1"/>
        <v>1</v>
      </c>
      <c r="N11" t="s">
        <v>70</v>
      </c>
      <c r="O11">
        <f t="shared" si="2"/>
        <v>-1</v>
      </c>
      <c r="P11" t="s">
        <v>68</v>
      </c>
      <c r="Q11">
        <f t="shared" si="3"/>
        <v>-1</v>
      </c>
      <c r="R11" t="s">
        <v>70</v>
      </c>
      <c r="S11">
        <f t="shared" si="4"/>
        <v>-1</v>
      </c>
      <c r="T11" t="s">
        <v>68</v>
      </c>
      <c r="U11">
        <f t="shared" si="5"/>
        <v>-1</v>
      </c>
      <c r="V11" t="s">
        <v>69</v>
      </c>
      <c r="W11">
        <f t="shared" si="6"/>
        <v>-1</v>
      </c>
      <c r="X11" t="s">
        <v>65</v>
      </c>
      <c r="Y11">
        <f t="shared" si="19"/>
        <v>0</v>
      </c>
      <c r="Z11" t="s">
        <v>70</v>
      </c>
      <c r="AA11">
        <f t="shared" si="7"/>
        <v>-1</v>
      </c>
      <c r="AB11" s="2">
        <f t="shared" si="8"/>
        <v>-5</v>
      </c>
      <c r="AC11" s="2">
        <f t="shared" si="0"/>
        <v>-5.625</v>
      </c>
      <c r="AD11" t="s">
        <v>69</v>
      </c>
      <c r="AE11">
        <f t="shared" si="9"/>
        <v>-1</v>
      </c>
      <c r="AF11" t="s">
        <v>70</v>
      </c>
      <c r="AG11">
        <f t="shared" si="10"/>
        <v>1</v>
      </c>
      <c r="AH11" t="s">
        <v>70</v>
      </c>
      <c r="AI11">
        <f t="shared" si="11"/>
        <v>-1</v>
      </c>
      <c r="AJ11" t="s">
        <v>70</v>
      </c>
      <c r="AK11">
        <f t="shared" si="12"/>
        <v>-1</v>
      </c>
      <c r="AL11" t="s">
        <v>68</v>
      </c>
      <c r="AM11">
        <f t="shared" si="13"/>
        <v>-1</v>
      </c>
      <c r="AN11" t="s">
        <v>68</v>
      </c>
      <c r="AO11">
        <f t="shared" si="14"/>
        <v>-1</v>
      </c>
      <c r="AP11" t="s">
        <v>68</v>
      </c>
      <c r="AQ11">
        <f t="shared" si="15"/>
        <v>-1</v>
      </c>
      <c r="AR11" t="s">
        <v>70</v>
      </c>
      <c r="AS11">
        <f t="shared" si="16"/>
        <v>-1</v>
      </c>
      <c r="AT11" t="s">
        <v>70</v>
      </c>
      <c r="AU11">
        <f t="shared" si="17"/>
        <v>1</v>
      </c>
      <c r="AV11" s="2">
        <f t="shared" si="18"/>
        <v>-5</v>
      </c>
      <c r="AW11" s="1" t="s">
        <v>132</v>
      </c>
      <c r="AX11" t="s">
        <v>70</v>
      </c>
      <c r="AY11" t="s">
        <v>68</v>
      </c>
      <c r="AZ11" t="s">
        <v>68</v>
      </c>
      <c r="BA11" t="s">
        <v>65</v>
      </c>
      <c r="BB11" t="s">
        <v>65</v>
      </c>
      <c r="BC11" t="s">
        <v>66</v>
      </c>
      <c r="BD11" t="s">
        <v>69</v>
      </c>
      <c r="BE11" t="s">
        <v>70</v>
      </c>
      <c r="BF11" t="s">
        <v>68</v>
      </c>
      <c r="BG11" t="s">
        <v>68</v>
      </c>
      <c r="BH11" t="s">
        <v>70</v>
      </c>
      <c r="BK11" t="s">
        <v>71</v>
      </c>
      <c r="BL11" t="s">
        <v>71</v>
      </c>
      <c r="BQ11" t="s">
        <v>71</v>
      </c>
      <c r="BR11" t="s">
        <v>71</v>
      </c>
      <c r="BV11" t="s">
        <v>71</v>
      </c>
      <c r="BY11" t="s">
        <v>101</v>
      </c>
      <c r="BZ11" t="s">
        <v>79</v>
      </c>
      <c r="CA11" t="s">
        <v>79</v>
      </c>
    </row>
    <row r="12" spans="1:80" x14ac:dyDescent="0.25">
      <c r="A12">
        <v>45547.900220509255</v>
      </c>
      <c r="B12" t="s">
        <v>102</v>
      </c>
      <c r="C12">
        <v>2000</v>
      </c>
      <c r="D12" t="s">
        <v>75</v>
      </c>
      <c r="E12" t="s">
        <v>95</v>
      </c>
      <c r="F12" t="s">
        <v>96</v>
      </c>
      <c r="G12" t="s">
        <v>96</v>
      </c>
      <c r="H12" t="s">
        <v>62</v>
      </c>
      <c r="I12" t="s">
        <v>63</v>
      </c>
      <c r="J12" t="s">
        <v>64</v>
      </c>
      <c r="K12" s="1" t="s">
        <v>132</v>
      </c>
      <c r="L12" t="s">
        <v>65</v>
      </c>
      <c r="M12">
        <f t="shared" si="1"/>
        <v>0</v>
      </c>
      <c r="N12" t="s">
        <v>66</v>
      </c>
      <c r="O12">
        <f t="shared" si="2"/>
        <v>0</v>
      </c>
      <c r="P12" t="s">
        <v>67</v>
      </c>
      <c r="Q12">
        <f t="shared" si="3"/>
        <v>-1</v>
      </c>
      <c r="R12" t="s">
        <v>65</v>
      </c>
      <c r="S12">
        <f t="shared" si="4"/>
        <v>0</v>
      </c>
      <c r="T12" t="s">
        <v>65</v>
      </c>
      <c r="U12">
        <f t="shared" si="5"/>
        <v>0</v>
      </c>
      <c r="V12" t="s">
        <v>67</v>
      </c>
      <c r="W12">
        <f t="shared" si="6"/>
        <v>1</v>
      </c>
      <c r="X12" t="s">
        <v>66</v>
      </c>
      <c r="Y12">
        <f t="shared" si="19"/>
        <v>0</v>
      </c>
      <c r="Z12" t="s">
        <v>66</v>
      </c>
      <c r="AA12">
        <f t="shared" si="7"/>
        <v>0</v>
      </c>
      <c r="AB12" s="2">
        <f t="shared" si="8"/>
        <v>0</v>
      </c>
      <c r="AC12" s="2">
        <f t="shared" si="0"/>
        <v>0</v>
      </c>
      <c r="AD12" t="s">
        <v>65</v>
      </c>
      <c r="AE12">
        <f t="shared" si="9"/>
        <v>0</v>
      </c>
      <c r="AF12" t="s">
        <v>67</v>
      </c>
      <c r="AG12">
        <f t="shared" si="10"/>
        <v>-1</v>
      </c>
      <c r="AH12" t="s">
        <v>70</v>
      </c>
      <c r="AI12">
        <f t="shared" si="11"/>
        <v>-1</v>
      </c>
      <c r="AJ12" t="s">
        <v>70</v>
      </c>
      <c r="AK12">
        <f t="shared" si="12"/>
        <v>-1</v>
      </c>
      <c r="AL12" t="s">
        <v>65</v>
      </c>
      <c r="AM12">
        <f t="shared" si="13"/>
        <v>0</v>
      </c>
      <c r="AN12" t="s">
        <v>66</v>
      </c>
      <c r="AO12">
        <f t="shared" si="14"/>
        <v>0</v>
      </c>
      <c r="AP12" t="s">
        <v>65</v>
      </c>
      <c r="AQ12">
        <f t="shared" si="15"/>
        <v>0</v>
      </c>
      <c r="AR12" t="s">
        <v>67</v>
      </c>
      <c r="AS12">
        <f t="shared" si="16"/>
        <v>1</v>
      </c>
      <c r="AT12" t="s">
        <v>69</v>
      </c>
      <c r="AU12">
        <f t="shared" si="17"/>
        <v>1</v>
      </c>
      <c r="AV12" s="2">
        <f t="shared" si="18"/>
        <v>-1</v>
      </c>
      <c r="AW12" s="1" t="s">
        <v>132</v>
      </c>
      <c r="AX12" t="s">
        <v>65</v>
      </c>
      <c r="AY12" t="s">
        <v>65</v>
      </c>
      <c r="AZ12" t="s">
        <v>69</v>
      </c>
      <c r="BA12" t="s">
        <v>66</v>
      </c>
      <c r="BB12" t="s">
        <v>67</v>
      </c>
      <c r="BC12" t="s">
        <v>66</v>
      </c>
      <c r="BD12" t="s">
        <v>66</v>
      </c>
      <c r="BE12" t="s">
        <v>65</v>
      </c>
      <c r="BF12" t="s">
        <v>69</v>
      </c>
      <c r="BG12" t="s">
        <v>67</v>
      </c>
      <c r="BH12" t="s">
        <v>67</v>
      </c>
      <c r="BK12" t="s">
        <v>71</v>
      </c>
      <c r="BL12" t="s">
        <v>71</v>
      </c>
      <c r="BV12" t="s">
        <v>71</v>
      </c>
      <c r="BY12" t="s">
        <v>103</v>
      </c>
      <c r="BZ12" t="s">
        <v>73</v>
      </c>
      <c r="CA12" t="s">
        <v>73</v>
      </c>
    </row>
    <row r="13" spans="1:80" x14ac:dyDescent="0.25">
      <c r="A13">
        <v>45547.900811840278</v>
      </c>
      <c r="B13" t="s">
        <v>104</v>
      </c>
      <c r="C13">
        <v>2001</v>
      </c>
      <c r="D13" t="s">
        <v>59</v>
      </c>
      <c r="E13" t="s">
        <v>95</v>
      </c>
      <c r="F13" t="s">
        <v>82</v>
      </c>
      <c r="G13" t="s">
        <v>61</v>
      </c>
      <c r="H13" t="s">
        <v>83</v>
      </c>
      <c r="I13" t="s">
        <v>63</v>
      </c>
      <c r="J13" t="s">
        <v>90</v>
      </c>
      <c r="K13" s="1" t="s">
        <v>132</v>
      </c>
      <c r="L13" t="s">
        <v>69</v>
      </c>
      <c r="M13">
        <f t="shared" si="1"/>
        <v>1</v>
      </c>
      <c r="N13" t="s">
        <v>65</v>
      </c>
      <c r="O13">
        <f t="shared" si="2"/>
        <v>0</v>
      </c>
      <c r="P13" t="s">
        <v>67</v>
      </c>
      <c r="Q13">
        <f t="shared" si="3"/>
        <v>-1</v>
      </c>
      <c r="R13" t="s">
        <v>65</v>
      </c>
      <c r="S13">
        <f t="shared" si="4"/>
        <v>0</v>
      </c>
      <c r="T13" t="s">
        <v>65</v>
      </c>
      <c r="U13">
        <f t="shared" si="5"/>
        <v>0</v>
      </c>
      <c r="V13" t="s">
        <v>65</v>
      </c>
      <c r="W13">
        <f t="shared" si="6"/>
        <v>0</v>
      </c>
      <c r="X13" t="s">
        <v>67</v>
      </c>
      <c r="Y13">
        <f t="shared" si="19"/>
        <v>1</v>
      </c>
      <c r="Z13" t="s">
        <v>85</v>
      </c>
      <c r="AA13">
        <f t="shared" si="7"/>
        <v>0</v>
      </c>
      <c r="AB13" s="2">
        <f t="shared" si="8"/>
        <v>1</v>
      </c>
      <c r="AC13" s="2">
        <f t="shared" si="0"/>
        <v>1.125</v>
      </c>
      <c r="AD13" t="s">
        <v>65</v>
      </c>
      <c r="AE13">
        <f t="shared" si="9"/>
        <v>0</v>
      </c>
      <c r="AF13" t="s">
        <v>67</v>
      </c>
      <c r="AG13">
        <f t="shared" si="10"/>
        <v>-1</v>
      </c>
      <c r="AH13" t="s">
        <v>67</v>
      </c>
      <c r="AI13">
        <f t="shared" si="11"/>
        <v>1</v>
      </c>
      <c r="AJ13" t="s">
        <v>69</v>
      </c>
      <c r="AK13">
        <f t="shared" si="12"/>
        <v>-1</v>
      </c>
      <c r="AL13" t="s">
        <v>66</v>
      </c>
      <c r="AM13">
        <f t="shared" si="13"/>
        <v>0</v>
      </c>
      <c r="AN13" t="s">
        <v>70</v>
      </c>
      <c r="AO13">
        <f t="shared" si="14"/>
        <v>1</v>
      </c>
      <c r="AP13" t="s">
        <v>65</v>
      </c>
      <c r="AQ13">
        <f t="shared" si="15"/>
        <v>0</v>
      </c>
      <c r="AR13" t="s">
        <v>65</v>
      </c>
      <c r="AS13">
        <f t="shared" si="16"/>
        <v>0</v>
      </c>
      <c r="AT13" t="s">
        <v>70</v>
      </c>
      <c r="AU13">
        <f t="shared" si="17"/>
        <v>1</v>
      </c>
      <c r="AV13" s="2">
        <f t="shared" si="18"/>
        <v>1</v>
      </c>
      <c r="AW13" s="1" t="s">
        <v>132</v>
      </c>
      <c r="AX13" t="s">
        <v>65</v>
      </c>
      <c r="AY13" t="s">
        <v>65</v>
      </c>
      <c r="AZ13" t="s">
        <v>66</v>
      </c>
      <c r="BA13" t="s">
        <v>67</v>
      </c>
      <c r="BB13" t="s">
        <v>66</v>
      </c>
      <c r="BC13" t="s">
        <v>66</v>
      </c>
      <c r="BD13" t="s">
        <v>70</v>
      </c>
      <c r="BE13" t="s">
        <v>70</v>
      </c>
      <c r="BF13" t="s">
        <v>65</v>
      </c>
      <c r="BG13" t="s">
        <v>68</v>
      </c>
      <c r="BH13" t="s">
        <v>65</v>
      </c>
      <c r="BK13" t="s">
        <v>71</v>
      </c>
      <c r="BY13" t="s">
        <v>72</v>
      </c>
      <c r="BZ13" t="s">
        <v>72</v>
      </c>
      <c r="CA13" t="s">
        <v>73</v>
      </c>
    </row>
    <row r="14" spans="1:80" x14ac:dyDescent="0.25">
      <c r="A14">
        <v>45547.900887152777</v>
      </c>
      <c r="B14" t="s">
        <v>105</v>
      </c>
      <c r="C14">
        <v>2003</v>
      </c>
      <c r="D14" t="s">
        <v>59</v>
      </c>
      <c r="E14" t="s">
        <v>95</v>
      </c>
      <c r="F14" t="s">
        <v>76</v>
      </c>
      <c r="G14" t="s">
        <v>82</v>
      </c>
      <c r="H14" t="s">
        <v>62</v>
      </c>
      <c r="I14" t="s">
        <v>63</v>
      </c>
      <c r="J14" t="s">
        <v>77</v>
      </c>
      <c r="K14" s="1" t="s">
        <v>132</v>
      </c>
      <c r="L14" t="s">
        <v>65</v>
      </c>
      <c r="M14">
        <f t="shared" si="1"/>
        <v>0</v>
      </c>
      <c r="N14" t="s">
        <v>68</v>
      </c>
      <c r="O14">
        <f t="shared" si="2"/>
        <v>1</v>
      </c>
      <c r="P14" t="s">
        <v>67</v>
      </c>
      <c r="Q14">
        <f t="shared" si="3"/>
        <v>-1</v>
      </c>
      <c r="R14" t="s">
        <v>68</v>
      </c>
      <c r="S14">
        <f t="shared" si="4"/>
        <v>1</v>
      </c>
      <c r="T14" t="s">
        <v>69</v>
      </c>
      <c r="U14">
        <f t="shared" si="5"/>
        <v>1</v>
      </c>
      <c r="V14" t="s">
        <v>69</v>
      </c>
      <c r="W14">
        <f t="shared" si="6"/>
        <v>-1</v>
      </c>
      <c r="X14" t="s">
        <v>68</v>
      </c>
      <c r="Y14">
        <f t="shared" si="19"/>
        <v>1</v>
      </c>
      <c r="Z14" t="s">
        <v>67</v>
      </c>
      <c r="AA14">
        <f t="shared" si="7"/>
        <v>1</v>
      </c>
      <c r="AB14" s="2">
        <f t="shared" si="8"/>
        <v>3</v>
      </c>
      <c r="AC14" s="2">
        <f t="shared" si="0"/>
        <v>3.375</v>
      </c>
      <c r="AD14" t="s">
        <v>65</v>
      </c>
      <c r="AE14">
        <f t="shared" si="9"/>
        <v>0</v>
      </c>
      <c r="AF14" t="s">
        <v>67</v>
      </c>
      <c r="AG14">
        <f t="shared" si="10"/>
        <v>-1</v>
      </c>
      <c r="AH14" t="s">
        <v>67</v>
      </c>
      <c r="AI14">
        <f t="shared" si="11"/>
        <v>1</v>
      </c>
      <c r="AJ14" t="s">
        <v>67</v>
      </c>
      <c r="AK14">
        <f t="shared" si="12"/>
        <v>1</v>
      </c>
      <c r="AL14" t="s">
        <v>65</v>
      </c>
      <c r="AM14">
        <f t="shared" si="13"/>
        <v>0</v>
      </c>
      <c r="AN14" t="s">
        <v>70</v>
      </c>
      <c r="AO14">
        <f t="shared" si="14"/>
        <v>1</v>
      </c>
      <c r="AP14" t="s">
        <v>67</v>
      </c>
      <c r="AQ14">
        <f t="shared" si="15"/>
        <v>-1</v>
      </c>
      <c r="AR14" t="s">
        <v>68</v>
      </c>
      <c r="AS14">
        <f t="shared" si="16"/>
        <v>1</v>
      </c>
      <c r="AT14" t="s">
        <v>67</v>
      </c>
      <c r="AU14">
        <f t="shared" si="17"/>
        <v>-1</v>
      </c>
      <c r="AV14" s="2">
        <f t="shared" si="18"/>
        <v>1</v>
      </c>
      <c r="AW14" s="1" t="s">
        <v>132</v>
      </c>
      <c r="AX14" t="s">
        <v>68</v>
      </c>
      <c r="AY14" t="s">
        <v>68</v>
      </c>
      <c r="AZ14" t="s">
        <v>67</v>
      </c>
      <c r="BA14" t="s">
        <v>69</v>
      </c>
      <c r="BB14" t="s">
        <v>69</v>
      </c>
      <c r="BC14" t="s">
        <v>66</v>
      </c>
      <c r="BD14" t="s">
        <v>65</v>
      </c>
      <c r="BE14" t="s">
        <v>67</v>
      </c>
      <c r="BF14" t="s">
        <v>65</v>
      </c>
      <c r="BG14" t="s">
        <v>67</v>
      </c>
      <c r="BH14" t="s">
        <v>67</v>
      </c>
      <c r="BI14" t="s">
        <v>71</v>
      </c>
      <c r="BN14" t="s">
        <v>71</v>
      </c>
      <c r="BS14" t="s">
        <v>71</v>
      </c>
      <c r="BY14" t="s">
        <v>73</v>
      </c>
      <c r="BZ14" t="s">
        <v>73</v>
      </c>
      <c r="CA14" t="s">
        <v>73</v>
      </c>
    </row>
    <row r="15" spans="1:80" x14ac:dyDescent="0.25">
      <c r="A15">
        <v>45547.901088287035</v>
      </c>
      <c r="B15" t="s">
        <v>106</v>
      </c>
      <c r="C15">
        <v>2001</v>
      </c>
      <c r="D15" t="s">
        <v>59</v>
      </c>
      <c r="E15" t="s">
        <v>95</v>
      </c>
      <c r="F15" t="s">
        <v>107</v>
      </c>
      <c r="G15" t="s">
        <v>76</v>
      </c>
      <c r="H15" t="s">
        <v>62</v>
      </c>
      <c r="I15" t="s">
        <v>63</v>
      </c>
      <c r="J15" t="s">
        <v>77</v>
      </c>
      <c r="K15" s="1" t="s">
        <v>132</v>
      </c>
      <c r="L15" t="s">
        <v>65</v>
      </c>
      <c r="M15">
        <f t="shared" si="1"/>
        <v>0</v>
      </c>
      <c r="N15" t="s">
        <v>65</v>
      </c>
      <c r="O15">
        <f t="shared" si="2"/>
        <v>0</v>
      </c>
      <c r="P15" t="s">
        <v>65</v>
      </c>
      <c r="Q15">
        <f t="shared" si="3"/>
        <v>0</v>
      </c>
      <c r="R15" t="s">
        <v>65</v>
      </c>
      <c r="S15">
        <f t="shared" si="4"/>
        <v>0</v>
      </c>
      <c r="T15" t="s">
        <v>65</v>
      </c>
      <c r="U15">
        <f t="shared" si="5"/>
        <v>0</v>
      </c>
      <c r="V15" t="s">
        <v>67</v>
      </c>
      <c r="W15">
        <f t="shared" si="6"/>
        <v>1</v>
      </c>
      <c r="X15" t="s">
        <v>65</v>
      </c>
      <c r="Y15">
        <f t="shared" si="19"/>
        <v>0</v>
      </c>
      <c r="Z15" t="s">
        <v>66</v>
      </c>
      <c r="AA15">
        <f t="shared" si="7"/>
        <v>0</v>
      </c>
      <c r="AB15" s="2">
        <f t="shared" si="8"/>
        <v>1</v>
      </c>
      <c r="AC15" s="2">
        <f t="shared" si="0"/>
        <v>1.125</v>
      </c>
      <c r="AD15" t="s">
        <v>66</v>
      </c>
      <c r="AE15">
        <f t="shared" si="9"/>
        <v>0</v>
      </c>
      <c r="AF15" t="s">
        <v>67</v>
      </c>
      <c r="AG15">
        <f t="shared" si="10"/>
        <v>-1</v>
      </c>
      <c r="AH15" t="s">
        <v>66</v>
      </c>
      <c r="AI15">
        <f t="shared" si="11"/>
        <v>0</v>
      </c>
      <c r="AJ15" t="s">
        <v>66</v>
      </c>
      <c r="AK15">
        <f t="shared" si="12"/>
        <v>0</v>
      </c>
      <c r="AL15" t="s">
        <v>67</v>
      </c>
      <c r="AM15">
        <f t="shared" si="13"/>
        <v>-1</v>
      </c>
      <c r="AN15" t="s">
        <v>70</v>
      </c>
      <c r="AO15">
        <f t="shared" si="14"/>
        <v>1</v>
      </c>
      <c r="AP15" t="s">
        <v>65</v>
      </c>
      <c r="AQ15">
        <f t="shared" si="15"/>
        <v>0</v>
      </c>
      <c r="AR15" t="s">
        <v>67</v>
      </c>
      <c r="AS15">
        <f t="shared" si="16"/>
        <v>1</v>
      </c>
      <c r="AT15" t="s">
        <v>70</v>
      </c>
      <c r="AU15">
        <f t="shared" si="17"/>
        <v>1</v>
      </c>
      <c r="AV15" s="2">
        <f t="shared" si="18"/>
        <v>1</v>
      </c>
      <c r="AW15" s="1" t="s">
        <v>132</v>
      </c>
      <c r="AX15" t="s">
        <v>67</v>
      </c>
      <c r="AY15" t="s">
        <v>65</v>
      </c>
      <c r="AZ15" t="s">
        <v>69</v>
      </c>
      <c r="BA15" t="s">
        <v>69</v>
      </c>
      <c r="BB15" t="s">
        <v>70</v>
      </c>
      <c r="BC15" t="s">
        <v>70</v>
      </c>
      <c r="BD15" t="s">
        <v>70</v>
      </c>
      <c r="BE15" t="s">
        <v>69</v>
      </c>
      <c r="BF15" t="s">
        <v>67</v>
      </c>
      <c r="BG15" t="s">
        <v>66</v>
      </c>
      <c r="BH15" t="s">
        <v>67</v>
      </c>
      <c r="BP15" t="s">
        <v>71</v>
      </c>
      <c r="BY15" t="s">
        <v>87</v>
      </c>
      <c r="BZ15" t="s">
        <v>98</v>
      </c>
      <c r="CA15" t="s">
        <v>98</v>
      </c>
    </row>
    <row r="16" spans="1:80" x14ac:dyDescent="0.25">
      <c r="A16">
        <v>45547.901113668981</v>
      </c>
      <c r="B16" t="s">
        <v>108</v>
      </c>
      <c r="C16">
        <v>2002</v>
      </c>
      <c r="D16" t="s">
        <v>59</v>
      </c>
      <c r="E16" t="s">
        <v>60</v>
      </c>
      <c r="F16" t="s">
        <v>76</v>
      </c>
      <c r="G16" t="s">
        <v>76</v>
      </c>
      <c r="H16" t="s">
        <v>83</v>
      </c>
      <c r="I16" t="s">
        <v>63</v>
      </c>
      <c r="J16" t="s">
        <v>77</v>
      </c>
      <c r="K16" s="1" t="s">
        <v>132</v>
      </c>
      <c r="L16" t="s">
        <v>69</v>
      </c>
      <c r="M16">
        <f t="shared" si="1"/>
        <v>1</v>
      </c>
      <c r="N16" t="s">
        <v>65</v>
      </c>
      <c r="O16">
        <f t="shared" si="2"/>
        <v>0</v>
      </c>
      <c r="P16" t="s">
        <v>67</v>
      </c>
      <c r="Q16">
        <f t="shared" si="3"/>
        <v>-1</v>
      </c>
      <c r="R16" t="s">
        <v>68</v>
      </c>
      <c r="S16">
        <f t="shared" si="4"/>
        <v>1</v>
      </c>
      <c r="T16" t="s">
        <v>69</v>
      </c>
      <c r="U16">
        <f t="shared" si="5"/>
        <v>1</v>
      </c>
      <c r="V16" t="s">
        <v>67</v>
      </c>
      <c r="W16">
        <f t="shared" si="6"/>
        <v>1</v>
      </c>
      <c r="X16" t="s">
        <v>65</v>
      </c>
      <c r="Y16">
        <f t="shared" si="19"/>
        <v>0</v>
      </c>
      <c r="Z16" t="s">
        <v>66</v>
      </c>
      <c r="AA16">
        <f t="shared" si="7"/>
        <v>0</v>
      </c>
      <c r="AB16" s="2">
        <f t="shared" si="8"/>
        <v>3</v>
      </c>
      <c r="AC16" s="2">
        <f t="shared" si="0"/>
        <v>3.375</v>
      </c>
      <c r="AD16" t="s">
        <v>70</v>
      </c>
      <c r="AE16">
        <f t="shared" si="9"/>
        <v>-1</v>
      </c>
      <c r="AF16" t="s">
        <v>67</v>
      </c>
      <c r="AG16">
        <f t="shared" si="10"/>
        <v>-1</v>
      </c>
      <c r="AH16" t="s">
        <v>66</v>
      </c>
      <c r="AI16">
        <f t="shared" si="11"/>
        <v>0</v>
      </c>
      <c r="AJ16" t="s">
        <v>65</v>
      </c>
      <c r="AK16">
        <f t="shared" si="12"/>
        <v>0</v>
      </c>
      <c r="AL16" t="s">
        <v>67</v>
      </c>
      <c r="AM16">
        <f t="shared" si="13"/>
        <v>-1</v>
      </c>
      <c r="AN16" t="s">
        <v>70</v>
      </c>
      <c r="AO16">
        <f t="shared" si="14"/>
        <v>1</v>
      </c>
      <c r="AP16" t="s">
        <v>69</v>
      </c>
      <c r="AQ16">
        <f t="shared" si="15"/>
        <v>1</v>
      </c>
      <c r="AR16" t="s">
        <v>67</v>
      </c>
      <c r="AS16">
        <f t="shared" si="16"/>
        <v>1</v>
      </c>
      <c r="AT16" t="s">
        <v>66</v>
      </c>
      <c r="AU16">
        <f t="shared" si="17"/>
        <v>0</v>
      </c>
      <c r="AV16" s="2">
        <f t="shared" si="18"/>
        <v>0</v>
      </c>
      <c r="AW16" s="1" t="s">
        <v>132</v>
      </c>
      <c r="AX16" t="s">
        <v>67</v>
      </c>
      <c r="AY16" t="s">
        <v>67</v>
      </c>
      <c r="AZ16" t="s">
        <v>67</v>
      </c>
      <c r="BA16" t="s">
        <v>67</v>
      </c>
      <c r="BB16" t="s">
        <v>65</v>
      </c>
      <c r="BC16" t="s">
        <v>66</v>
      </c>
      <c r="BD16" t="s">
        <v>66</v>
      </c>
      <c r="BE16" t="s">
        <v>65</v>
      </c>
      <c r="BF16" t="s">
        <v>67</v>
      </c>
      <c r="BG16" t="s">
        <v>67</v>
      </c>
      <c r="BH16" t="s">
        <v>67</v>
      </c>
      <c r="BI16" t="s">
        <v>71</v>
      </c>
      <c r="BN16" t="s">
        <v>71</v>
      </c>
      <c r="BY16" t="s">
        <v>98</v>
      </c>
      <c r="BZ16" t="s">
        <v>98</v>
      </c>
      <c r="CA16" t="s">
        <v>73</v>
      </c>
    </row>
    <row r="17" spans="1:79" x14ac:dyDescent="0.25">
      <c r="A17">
        <v>45547.901809155097</v>
      </c>
      <c r="B17" t="s">
        <v>109</v>
      </c>
      <c r="C17">
        <v>2002</v>
      </c>
      <c r="D17" t="s">
        <v>59</v>
      </c>
      <c r="E17" t="s">
        <v>60</v>
      </c>
      <c r="F17" t="s">
        <v>76</v>
      </c>
      <c r="G17" t="s">
        <v>76</v>
      </c>
      <c r="H17" t="s">
        <v>83</v>
      </c>
      <c r="I17" t="s">
        <v>63</v>
      </c>
      <c r="J17" t="s">
        <v>77</v>
      </c>
      <c r="K17" s="1" t="s">
        <v>132</v>
      </c>
      <c r="L17" t="s">
        <v>65</v>
      </c>
      <c r="M17">
        <f t="shared" si="1"/>
        <v>0</v>
      </c>
      <c r="N17" t="s">
        <v>65</v>
      </c>
      <c r="O17">
        <f t="shared" si="2"/>
        <v>0</v>
      </c>
      <c r="P17" t="s">
        <v>68</v>
      </c>
      <c r="Q17">
        <f t="shared" si="3"/>
        <v>-1</v>
      </c>
      <c r="R17" t="s">
        <v>67</v>
      </c>
      <c r="S17">
        <f t="shared" si="4"/>
        <v>1</v>
      </c>
      <c r="T17" t="s">
        <v>67</v>
      </c>
      <c r="U17">
        <f t="shared" si="5"/>
        <v>-1</v>
      </c>
      <c r="V17" t="s">
        <v>65</v>
      </c>
      <c r="W17">
        <f t="shared" si="6"/>
        <v>0</v>
      </c>
      <c r="X17" t="s">
        <v>65</v>
      </c>
      <c r="Y17">
        <f t="shared" si="19"/>
        <v>0</v>
      </c>
      <c r="Z17" t="s">
        <v>66</v>
      </c>
      <c r="AA17">
        <f t="shared" si="7"/>
        <v>0</v>
      </c>
      <c r="AB17" s="2">
        <f t="shared" si="8"/>
        <v>-1</v>
      </c>
      <c r="AC17" s="2">
        <f t="shared" si="0"/>
        <v>-1.125</v>
      </c>
      <c r="AD17" t="s">
        <v>69</v>
      </c>
      <c r="AE17">
        <f t="shared" si="9"/>
        <v>-1</v>
      </c>
      <c r="AF17" t="s">
        <v>69</v>
      </c>
      <c r="AG17">
        <f t="shared" si="10"/>
        <v>1</v>
      </c>
      <c r="AH17" t="s">
        <v>65</v>
      </c>
      <c r="AI17">
        <f t="shared" si="11"/>
        <v>0</v>
      </c>
      <c r="AJ17" t="s">
        <v>65</v>
      </c>
      <c r="AK17">
        <f t="shared" si="12"/>
        <v>0</v>
      </c>
      <c r="AL17" t="s">
        <v>66</v>
      </c>
      <c r="AM17">
        <f t="shared" si="13"/>
        <v>0</v>
      </c>
      <c r="AN17" t="s">
        <v>66</v>
      </c>
      <c r="AO17">
        <f t="shared" si="14"/>
        <v>0</v>
      </c>
      <c r="AP17" t="s">
        <v>66</v>
      </c>
      <c r="AQ17">
        <f t="shared" si="15"/>
        <v>0</v>
      </c>
      <c r="AR17" t="s">
        <v>65</v>
      </c>
      <c r="AS17">
        <f t="shared" si="16"/>
        <v>0</v>
      </c>
      <c r="AT17" t="s">
        <v>70</v>
      </c>
      <c r="AU17">
        <f t="shared" si="17"/>
        <v>1</v>
      </c>
      <c r="AV17" s="2">
        <f t="shared" si="18"/>
        <v>1</v>
      </c>
      <c r="AW17" s="1" t="s">
        <v>132</v>
      </c>
      <c r="AX17" t="s">
        <v>66</v>
      </c>
      <c r="AY17" t="s">
        <v>67</v>
      </c>
      <c r="AZ17" t="s">
        <v>70</v>
      </c>
      <c r="BA17" t="s">
        <v>70</v>
      </c>
      <c r="BB17" t="s">
        <v>70</v>
      </c>
      <c r="BC17" t="s">
        <v>65</v>
      </c>
      <c r="BD17" t="s">
        <v>65</v>
      </c>
      <c r="BE17" t="s">
        <v>65</v>
      </c>
      <c r="BF17" t="s">
        <v>70</v>
      </c>
      <c r="BG17" t="s">
        <v>70</v>
      </c>
      <c r="BH17" t="s">
        <v>69</v>
      </c>
      <c r="BM17" t="s">
        <v>71</v>
      </c>
      <c r="BY17" t="s">
        <v>73</v>
      </c>
      <c r="BZ17" t="s">
        <v>73</v>
      </c>
      <c r="CA17" t="s">
        <v>73</v>
      </c>
    </row>
    <row r="18" spans="1:79" x14ac:dyDescent="0.25">
      <c r="A18">
        <v>45547.902385891204</v>
      </c>
      <c r="B18" t="s">
        <v>110</v>
      </c>
      <c r="C18">
        <v>2000</v>
      </c>
      <c r="D18" t="s">
        <v>59</v>
      </c>
      <c r="E18" t="s">
        <v>60</v>
      </c>
      <c r="F18" t="s">
        <v>107</v>
      </c>
      <c r="G18" t="s">
        <v>82</v>
      </c>
      <c r="H18" t="s">
        <v>62</v>
      </c>
      <c r="I18" t="s">
        <v>63</v>
      </c>
      <c r="J18" t="s">
        <v>64</v>
      </c>
      <c r="K18" s="1" t="s">
        <v>132</v>
      </c>
      <c r="L18" t="s">
        <v>70</v>
      </c>
      <c r="M18">
        <f t="shared" si="1"/>
        <v>1</v>
      </c>
      <c r="N18" t="s">
        <v>65</v>
      </c>
      <c r="O18">
        <f t="shared" si="2"/>
        <v>0</v>
      </c>
      <c r="P18" t="s">
        <v>67</v>
      </c>
      <c r="Q18">
        <f t="shared" si="3"/>
        <v>-1</v>
      </c>
      <c r="R18" t="s">
        <v>67</v>
      </c>
      <c r="S18">
        <f t="shared" si="4"/>
        <v>1</v>
      </c>
      <c r="T18" t="s">
        <v>65</v>
      </c>
      <c r="U18">
        <f t="shared" si="5"/>
        <v>0</v>
      </c>
      <c r="V18" t="s">
        <v>68</v>
      </c>
      <c r="W18">
        <f t="shared" si="6"/>
        <v>1</v>
      </c>
      <c r="X18" t="s">
        <v>67</v>
      </c>
      <c r="Y18">
        <f t="shared" si="19"/>
        <v>1</v>
      </c>
      <c r="Z18" t="s">
        <v>70</v>
      </c>
      <c r="AA18">
        <f t="shared" si="7"/>
        <v>-1</v>
      </c>
      <c r="AB18" s="2">
        <f t="shared" si="8"/>
        <v>2</v>
      </c>
      <c r="AC18" s="2">
        <f t="shared" si="0"/>
        <v>2.25</v>
      </c>
      <c r="AD18" t="s">
        <v>69</v>
      </c>
      <c r="AE18">
        <f t="shared" si="9"/>
        <v>-1</v>
      </c>
      <c r="AF18" t="s">
        <v>68</v>
      </c>
      <c r="AG18">
        <f t="shared" si="10"/>
        <v>-1</v>
      </c>
      <c r="AH18" t="s">
        <v>69</v>
      </c>
      <c r="AI18">
        <f t="shared" si="11"/>
        <v>-1</v>
      </c>
      <c r="AJ18" t="s">
        <v>70</v>
      </c>
      <c r="AK18">
        <f t="shared" si="12"/>
        <v>-1</v>
      </c>
      <c r="AL18" t="s">
        <v>69</v>
      </c>
      <c r="AM18">
        <f t="shared" si="13"/>
        <v>1</v>
      </c>
      <c r="AN18" t="s">
        <v>69</v>
      </c>
      <c r="AO18">
        <f t="shared" si="14"/>
        <v>1</v>
      </c>
      <c r="AP18" t="s">
        <v>65</v>
      </c>
      <c r="AQ18">
        <f t="shared" si="15"/>
        <v>0</v>
      </c>
      <c r="AR18" t="s">
        <v>68</v>
      </c>
      <c r="AS18">
        <f t="shared" si="16"/>
        <v>1</v>
      </c>
      <c r="AT18" t="s">
        <v>69</v>
      </c>
      <c r="AU18">
        <f t="shared" si="17"/>
        <v>1</v>
      </c>
      <c r="AV18" s="2">
        <f t="shared" si="18"/>
        <v>0</v>
      </c>
      <c r="AW18" s="1" t="s">
        <v>132</v>
      </c>
      <c r="AX18" t="s">
        <v>67</v>
      </c>
      <c r="AY18" t="s">
        <v>65</v>
      </c>
      <c r="AZ18" t="s">
        <v>70</v>
      </c>
      <c r="BA18" t="s">
        <v>70</v>
      </c>
      <c r="BB18" t="s">
        <v>65</v>
      </c>
      <c r="BC18" t="s">
        <v>70</v>
      </c>
      <c r="BD18" t="s">
        <v>70</v>
      </c>
      <c r="BE18" t="s">
        <v>65</v>
      </c>
      <c r="BF18" t="s">
        <v>68</v>
      </c>
      <c r="BG18" t="s">
        <v>68</v>
      </c>
      <c r="BH18" t="s">
        <v>69</v>
      </c>
      <c r="BI18" t="s">
        <v>71</v>
      </c>
      <c r="BY18" t="s">
        <v>73</v>
      </c>
      <c r="BZ18" t="s">
        <v>73</v>
      </c>
      <c r="CA18" t="s">
        <v>73</v>
      </c>
    </row>
    <row r="19" spans="1:79" x14ac:dyDescent="0.25">
      <c r="A19">
        <v>45547.902460983794</v>
      </c>
      <c r="B19" t="s">
        <v>111</v>
      </c>
      <c r="C19">
        <v>2000</v>
      </c>
      <c r="D19" t="s">
        <v>75</v>
      </c>
      <c r="E19" t="s">
        <v>95</v>
      </c>
      <c r="F19" t="s">
        <v>82</v>
      </c>
      <c r="G19" t="s">
        <v>112</v>
      </c>
      <c r="H19" t="s">
        <v>113</v>
      </c>
      <c r="I19" t="s">
        <v>89</v>
      </c>
      <c r="J19" t="s">
        <v>64</v>
      </c>
      <c r="K19" s="1" t="s">
        <v>132</v>
      </c>
      <c r="L19" t="s">
        <v>69</v>
      </c>
      <c r="M19">
        <f t="shared" si="1"/>
        <v>1</v>
      </c>
      <c r="N19" t="s">
        <v>67</v>
      </c>
      <c r="O19">
        <f t="shared" si="2"/>
        <v>1</v>
      </c>
      <c r="P19" t="s">
        <v>67</v>
      </c>
      <c r="Q19">
        <f t="shared" si="3"/>
        <v>-1</v>
      </c>
      <c r="R19" t="s">
        <v>67</v>
      </c>
      <c r="S19">
        <f t="shared" si="4"/>
        <v>1</v>
      </c>
      <c r="T19" t="s">
        <v>69</v>
      </c>
      <c r="U19">
        <f t="shared" si="5"/>
        <v>1</v>
      </c>
      <c r="V19" t="s">
        <v>65</v>
      </c>
      <c r="W19">
        <f t="shared" si="6"/>
        <v>0</v>
      </c>
      <c r="X19" t="s">
        <v>68</v>
      </c>
      <c r="Y19">
        <f t="shared" si="19"/>
        <v>1</v>
      </c>
      <c r="Z19" t="s">
        <v>69</v>
      </c>
      <c r="AA19">
        <f t="shared" si="7"/>
        <v>-1</v>
      </c>
      <c r="AB19" s="2">
        <f t="shared" si="8"/>
        <v>3</v>
      </c>
      <c r="AC19" s="2">
        <f t="shared" si="0"/>
        <v>3.375</v>
      </c>
      <c r="AD19" t="s">
        <v>65</v>
      </c>
      <c r="AE19">
        <f t="shared" si="9"/>
        <v>0</v>
      </c>
      <c r="AF19" t="s">
        <v>65</v>
      </c>
      <c r="AG19">
        <f t="shared" si="10"/>
        <v>0</v>
      </c>
      <c r="AH19" t="s">
        <v>70</v>
      </c>
      <c r="AI19">
        <f t="shared" si="11"/>
        <v>-1</v>
      </c>
      <c r="AJ19" t="s">
        <v>70</v>
      </c>
      <c r="AK19">
        <f t="shared" si="12"/>
        <v>-1</v>
      </c>
      <c r="AL19" t="s">
        <v>68</v>
      </c>
      <c r="AM19">
        <f t="shared" si="13"/>
        <v>-1</v>
      </c>
      <c r="AN19" t="s">
        <v>69</v>
      </c>
      <c r="AO19">
        <f t="shared" si="14"/>
        <v>1</v>
      </c>
      <c r="AP19" t="s">
        <v>65</v>
      </c>
      <c r="AQ19">
        <f t="shared" si="15"/>
        <v>0</v>
      </c>
      <c r="AR19" t="s">
        <v>69</v>
      </c>
      <c r="AS19">
        <f t="shared" si="16"/>
        <v>-1</v>
      </c>
      <c r="AT19" t="s">
        <v>69</v>
      </c>
      <c r="AU19">
        <f t="shared" si="17"/>
        <v>1</v>
      </c>
      <c r="AV19" s="2">
        <f t="shared" si="18"/>
        <v>-2</v>
      </c>
      <c r="AW19" s="1" t="s">
        <v>132</v>
      </c>
      <c r="AX19" t="s">
        <v>67</v>
      </c>
      <c r="AY19" t="s">
        <v>69</v>
      </c>
      <c r="AZ19" t="s">
        <v>66</v>
      </c>
      <c r="BA19" t="s">
        <v>68</v>
      </c>
      <c r="BB19" t="s">
        <v>70</v>
      </c>
      <c r="BC19" t="s">
        <v>70</v>
      </c>
      <c r="BD19" t="s">
        <v>70</v>
      </c>
      <c r="BE19" t="s">
        <v>70</v>
      </c>
      <c r="BF19" t="s">
        <v>66</v>
      </c>
      <c r="BG19" t="s">
        <v>68</v>
      </c>
      <c r="BH19" t="s">
        <v>65</v>
      </c>
      <c r="BI19" t="s">
        <v>71</v>
      </c>
      <c r="BK19" t="s">
        <v>71</v>
      </c>
      <c r="BP19" t="s">
        <v>71</v>
      </c>
      <c r="BV19" t="s">
        <v>71</v>
      </c>
      <c r="BY19" t="s">
        <v>72</v>
      </c>
      <c r="BZ19" t="s">
        <v>72</v>
      </c>
      <c r="CA19" t="s">
        <v>73</v>
      </c>
    </row>
    <row r="20" spans="1:79" x14ac:dyDescent="0.25">
      <c r="A20">
        <v>45547.902482291669</v>
      </c>
      <c r="B20" t="s">
        <v>114</v>
      </c>
      <c r="C20">
        <v>2002</v>
      </c>
      <c r="D20" t="s">
        <v>59</v>
      </c>
      <c r="E20" t="s">
        <v>95</v>
      </c>
      <c r="F20" t="s">
        <v>112</v>
      </c>
      <c r="G20" t="s">
        <v>115</v>
      </c>
      <c r="H20" t="s">
        <v>62</v>
      </c>
      <c r="I20" t="s">
        <v>63</v>
      </c>
      <c r="J20" t="s">
        <v>64</v>
      </c>
      <c r="K20" s="1" t="s">
        <v>132</v>
      </c>
      <c r="L20" t="s">
        <v>65</v>
      </c>
      <c r="M20">
        <f t="shared" si="1"/>
        <v>0</v>
      </c>
      <c r="N20" t="s">
        <v>66</v>
      </c>
      <c r="O20">
        <f t="shared" si="2"/>
        <v>0</v>
      </c>
      <c r="P20" t="s">
        <v>65</v>
      </c>
      <c r="Q20">
        <f t="shared" si="3"/>
        <v>0</v>
      </c>
      <c r="R20" t="s">
        <v>67</v>
      </c>
      <c r="S20">
        <f t="shared" si="4"/>
        <v>1</v>
      </c>
      <c r="T20" t="s">
        <v>69</v>
      </c>
      <c r="U20">
        <f t="shared" si="5"/>
        <v>1</v>
      </c>
      <c r="V20" t="s">
        <v>67</v>
      </c>
      <c r="W20">
        <f t="shared" si="6"/>
        <v>1</v>
      </c>
      <c r="X20" t="s">
        <v>68</v>
      </c>
      <c r="Y20">
        <f t="shared" si="19"/>
        <v>1</v>
      </c>
      <c r="Z20" t="s">
        <v>69</v>
      </c>
      <c r="AA20">
        <f t="shared" si="7"/>
        <v>-1</v>
      </c>
      <c r="AB20" s="2">
        <f t="shared" si="8"/>
        <v>3</v>
      </c>
      <c r="AC20" s="2">
        <f t="shared" si="0"/>
        <v>3.375</v>
      </c>
      <c r="AD20" t="s">
        <v>66</v>
      </c>
      <c r="AE20">
        <f t="shared" si="9"/>
        <v>0</v>
      </c>
      <c r="AF20" t="s">
        <v>67</v>
      </c>
      <c r="AG20">
        <f t="shared" si="10"/>
        <v>-1</v>
      </c>
      <c r="AH20" t="s">
        <v>70</v>
      </c>
      <c r="AI20">
        <f t="shared" si="11"/>
        <v>-1</v>
      </c>
      <c r="AJ20" t="s">
        <v>70</v>
      </c>
      <c r="AK20">
        <f t="shared" si="12"/>
        <v>-1</v>
      </c>
      <c r="AL20" t="s">
        <v>67</v>
      </c>
      <c r="AM20">
        <f t="shared" si="13"/>
        <v>-1</v>
      </c>
      <c r="AN20" t="s">
        <v>66</v>
      </c>
      <c r="AO20">
        <f t="shared" si="14"/>
        <v>0</v>
      </c>
      <c r="AP20" t="s">
        <v>66</v>
      </c>
      <c r="AQ20">
        <f t="shared" si="15"/>
        <v>0</v>
      </c>
      <c r="AR20" t="s">
        <v>67</v>
      </c>
      <c r="AS20">
        <f t="shared" si="16"/>
        <v>1</v>
      </c>
      <c r="AT20" t="s">
        <v>69</v>
      </c>
      <c r="AU20">
        <f t="shared" si="17"/>
        <v>1</v>
      </c>
      <c r="AV20" s="2">
        <f t="shared" si="18"/>
        <v>-2</v>
      </c>
      <c r="AW20" s="1" t="s">
        <v>132</v>
      </c>
      <c r="AX20" t="s">
        <v>67</v>
      </c>
      <c r="AY20" t="s">
        <v>67</v>
      </c>
      <c r="AZ20" t="s">
        <v>66</v>
      </c>
      <c r="BA20" t="s">
        <v>65</v>
      </c>
      <c r="BB20" t="s">
        <v>70</v>
      </c>
      <c r="BC20" t="s">
        <v>70</v>
      </c>
      <c r="BD20" t="s">
        <v>70</v>
      </c>
      <c r="BE20" t="s">
        <v>69</v>
      </c>
      <c r="BF20" t="s">
        <v>67</v>
      </c>
      <c r="BG20" t="s">
        <v>67</v>
      </c>
      <c r="BH20" t="s">
        <v>68</v>
      </c>
      <c r="BK20" t="s">
        <v>71</v>
      </c>
      <c r="BV20" t="s">
        <v>71</v>
      </c>
      <c r="BW20" t="s">
        <v>71</v>
      </c>
      <c r="BY20" t="s">
        <v>103</v>
      </c>
      <c r="BZ20" t="s">
        <v>72</v>
      </c>
      <c r="CA20" t="s">
        <v>73</v>
      </c>
    </row>
    <row r="21" spans="1:79" x14ac:dyDescent="0.25">
      <c r="A21">
        <v>45547.903456527776</v>
      </c>
      <c r="B21" t="s">
        <v>116</v>
      </c>
      <c r="C21">
        <v>1999</v>
      </c>
      <c r="D21" t="s">
        <v>81</v>
      </c>
      <c r="E21" t="s">
        <v>60</v>
      </c>
      <c r="F21" t="s">
        <v>82</v>
      </c>
      <c r="G21" t="s">
        <v>82</v>
      </c>
      <c r="H21" t="s">
        <v>83</v>
      </c>
      <c r="I21" t="s">
        <v>89</v>
      </c>
      <c r="J21" t="s">
        <v>64</v>
      </c>
      <c r="K21" s="1" t="s">
        <v>132</v>
      </c>
      <c r="L21" t="s">
        <v>69</v>
      </c>
      <c r="M21">
        <f t="shared" si="1"/>
        <v>1</v>
      </c>
      <c r="N21" t="s">
        <v>65</v>
      </c>
      <c r="O21">
        <f t="shared" si="2"/>
        <v>0</v>
      </c>
      <c r="P21" t="s">
        <v>66</v>
      </c>
      <c r="Q21">
        <f t="shared" si="3"/>
        <v>0</v>
      </c>
      <c r="R21" t="s">
        <v>67</v>
      </c>
      <c r="S21">
        <f t="shared" si="4"/>
        <v>1</v>
      </c>
      <c r="T21" t="s">
        <v>65</v>
      </c>
      <c r="U21">
        <f t="shared" si="5"/>
        <v>0</v>
      </c>
      <c r="V21" t="s">
        <v>68</v>
      </c>
      <c r="W21">
        <f t="shared" si="6"/>
        <v>1</v>
      </c>
      <c r="X21" t="s">
        <v>67</v>
      </c>
      <c r="Y21">
        <f t="shared" si="19"/>
        <v>1</v>
      </c>
      <c r="Z21" t="s">
        <v>85</v>
      </c>
      <c r="AA21">
        <f t="shared" si="7"/>
        <v>0</v>
      </c>
      <c r="AB21" s="2">
        <f t="shared" si="8"/>
        <v>4</v>
      </c>
      <c r="AC21" s="2">
        <f t="shared" si="0"/>
        <v>4.5</v>
      </c>
      <c r="AD21" t="s">
        <v>70</v>
      </c>
      <c r="AE21">
        <f t="shared" si="9"/>
        <v>-1</v>
      </c>
      <c r="AF21" t="s">
        <v>67</v>
      </c>
      <c r="AG21">
        <f t="shared" si="10"/>
        <v>-1</v>
      </c>
      <c r="AH21" t="s">
        <v>65</v>
      </c>
      <c r="AI21">
        <f t="shared" si="11"/>
        <v>0</v>
      </c>
      <c r="AJ21" t="s">
        <v>69</v>
      </c>
      <c r="AK21">
        <f t="shared" si="12"/>
        <v>-1</v>
      </c>
      <c r="AL21" t="s">
        <v>65</v>
      </c>
      <c r="AM21">
        <f t="shared" si="13"/>
        <v>0</v>
      </c>
      <c r="AN21" t="s">
        <v>69</v>
      </c>
      <c r="AO21">
        <f t="shared" si="14"/>
        <v>1</v>
      </c>
      <c r="AP21" t="s">
        <v>65</v>
      </c>
      <c r="AQ21">
        <f t="shared" si="15"/>
        <v>0</v>
      </c>
      <c r="AR21" t="s">
        <v>68</v>
      </c>
      <c r="AS21">
        <f t="shared" si="16"/>
        <v>1</v>
      </c>
      <c r="AT21" t="s">
        <v>70</v>
      </c>
      <c r="AU21">
        <f t="shared" si="17"/>
        <v>1</v>
      </c>
      <c r="AV21" s="2">
        <f t="shared" si="18"/>
        <v>0</v>
      </c>
      <c r="AW21" s="1" t="s">
        <v>132</v>
      </c>
      <c r="AX21" t="s">
        <v>65</v>
      </c>
      <c r="AY21" t="s">
        <v>67</v>
      </c>
      <c r="AZ21" t="s">
        <v>66</v>
      </c>
      <c r="BA21" t="s">
        <v>70</v>
      </c>
      <c r="BB21" t="s">
        <v>70</v>
      </c>
      <c r="BC21" t="s">
        <v>68</v>
      </c>
      <c r="BD21" t="s">
        <v>68</v>
      </c>
      <c r="BE21" t="s">
        <v>68</v>
      </c>
      <c r="BF21" t="s">
        <v>66</v>
      </c>
      <c r="BG21" t="s">
        <v>69</v>
      </c>
      <c r="BH21" t="s">
        <v>69</v>
      </c>
      <c r="BI21" t="s">
        <v>71</v>
      </c>
      <c r="BY21" t="s">
        <v>73</v>
      </c>
      <c r="BZ21" t="s">
        <v>98</v>
      </c>
      <c r="CA21" t="s">
        <v>98</v>
      </c>
    </row>
    <row r="22" spans="1:79" x14ac:dyDescent="0.25">
      <c r="A22">
        <v>45549.732355775464</v>
      </c>
      <c r="B22" t="s">
        <v>117</v>
      </c>
      <c r="C22">
        <v>2002</v>
      </c>
      <c r="D22" t="s">
        <v>59</v>
      </c>
      <c r="E22" t="s">
        <v>60</v>
      </c>
      <c r="F22" t="s">
        <v>76</v>
      </c>
      <c r="G22" t="s">
        <v>76</v>
      </c>
      <c r="H22" t="s">
        <v>62</v>
      </c>
      <c r="I22" t="s">
        <v>63</v>
      </c>
      <c r="J22" t="s">
        <v>90</v>
      </c>
      <c r="K22" s="1" t="s">
        <v>132</v>
      </c>
      <c r="L22" t="s">
        <v>70</v>
      </c>
      <c r="M22">
        <f t="shared" si="1"/>
        <v>1</v>
      </c>
      <c r="N22" t="s">
        <v>65</v>
      </c>
      <c r="O22">
        <f t="shared" si="2"/>
        <v>0</v>
      </c>
      <c r="P22" t="s">
        <v>67</v>
      </c>
      <c r="Q22">
        <f t="shared" si="3"/>
        <v>-1</v>
      </c>
      <c r="R22" t="s">
        <v>67</v>
      </c>
      <c r="S22">
        <f t="shared" si="4"/>
        <v>1</v>
      </c>
      <c r="T22" t="s">
        <v>66</v>
      </c>
      <c r="U22">
        <f t="shared" si="5"/>
        <v>0</v>
      </c>
      <c r="V22" t="s">
        <v>67</v>
      </c>
      <c r="W22">
        <f t="shared" si="6"/>
        <v>1</v>
      </c>
      <c r="X22" t="s">
        <v>68</v>
      </c>
      <c r="Y22">
        <f t="shared" si="19"/>
        <v>1</v>
      </c>
      <c r="Z22" t="s">
        <v>68</v>
      </c>
      <c r="AA22">
        <f t="shared" si="7"/>
        <v>1</v>
      </c>
      <c r="AB22" s="2">
        <f t="shared" si="8"/>
        <v>4</v>
      </c>
      <c r="AC22" s="2">
        <f t="shared" si="0"/>
        <v>4.5</v>
      </c>
      <c r="AD22" t="s">
        <v>66</v>
      </c>
      <c r="AE22">
        <f t="shared" si="9"/>
        <v>0</v>
      </c>
      <c r="AF22" t="s">
        <v>66</v>
      </c>
      <c r="AG22">
        <f t="shared" si="10"/>
        <v>0</v>
      </c>
      <c r="AH22" t="s">
        <v>66</v>
      </c>
      <c r="AI22">
        <f t="shared" si="11"/>
        <v>0</v>
      </c>
      <c r="AJ22" t="s">
        <v>65</v>
      </c>
      <c r="AK22">
        <f t="shared" si="12"/>
        <v>0</v>
      </c>
      <c r="AL22" t="s">
        <v>67</v>
      </c>
      <c r="AM22">
        <f t="shared" si="13"/>
        <v>-1</v>
      </c>
      <c r="AN22" t="s">
        <v>69</v>
      </c>
      <c r="AO22">
        <f t="shared" si="14"/>
        <v>1</v>
      </c>
      <c r="AP22" t="s">
        <v>68</v>
      </c>
      <c r="AQ22">
        <f t="shared" si="15"/>
        <v>-1</v>
      </c>
      <c r="AR22" t="s">
        <v>68</v>
      </c>
      <c r="AS22">
        <f t="shared" si="16"/>
        <v>1</v>
      </c>
      <c r="AT22" t="s">
        <v>70</v>
      </c>
      <c r="AU22">
        <f t="shared" si="17"/>
        <v>1</v>
      </c>
      <c r="AV22" s="2">
        <f t="shared" si="18"/>
        <v>1</v>
      </c>
      <c r="AW22" s="1" t="s">
        <v>132</v>
      </c>
      <c r="AX22" t="s">
        <v>65</v>
      </c>
      <c r="AY22" t="s">
        <v>67</v>
      </c>
      <c r="AZ22" t="s">
        <v>67</v>
      </c>
      <c r="BA22" t="s">
        <v>69</v>
      </c>
      <c r="BB22" t="s">
        <v>67</v>
      </c>
      <c r="BC22" t="s">
        <v>70</v>
      </c>
      <c r="BD22" t="s">
        <v>70</v>
      </c>
      <c r="BE22" t="s">
        <v>69</v>
      </c>
      <c r="BF22" t="s">
        <v>67</v>
      </c>
      <c r="BG22" t="s">
        <v>65</v>
      </c>
      <c r="BH22" t="s">
        <v>68</v>
      </c>
      <c r="BI22" t="s">
        <v>71</v>
      </c>
      <c r="BP22" t="s">
        <v>71</v>
      </c>
      <c r="BY22" t="s">
        <v>72</v>
      </c>
      <c r="BZ22" t="s">
        <v>72</v>
      </c>
      <c r="CA22" t="s">
        <v>73</v>
      </c>
    </row>
    <row r="23" spans="1:79" x14ac:dyDescent="0.25">
      <c r="A23">
        <v>45551.790654189812</v>
      </c>
      <c r="B23" t="s">
        <v>118</v>
      </c>
      <c r="C23">
        <v>2002</v>
      </c>
      <c r="D23" t="s">
        <v>59</v>
      </c>
      <c r="E23" t="s">
        <v>60</v>
      </c>
      <c r="F23" t="s">
        <v>96</v>
      </c>
      <c r="G23" t="s">
        <v>96</v>
      </c>
      <c r="H23" t="s">
        <v>83</v>
      </c>
      <c r="I23" t="s">
        <v>63</v>
      </c>
      <c r="J23" t="s">
        <v>90</v>
      </c>
      <c r="K23" s="1" t="s">
        <v>132</v>
      </c>
      <c r="L23" t="s">
        <v>69</v>
      </c>
      <c r="M23">
        <f t="shared" si="1"/>
        <v>1</v>
      </c>
      <c r="N23" t="s">
        <v>66</v>
      </c>
      <c r="O23">
        <f t="shared" si="2"/>
        <v>0</v>
      </c>
      <c r="P23" t="s">
        <v>68</v>
      </c>
      <c r="Q23">
        <f t="shared" si="3"/>
        <v>-1</v>
      </c>
      <c r="R23" t="s">
        <v>67</v>
      </c>
      <c r="S23">
        <f t="shared" si="4"/>
        <v>1</v>
      </c>
      <c r="T23" t="s">
        <v>65</v>
      </c>
      <c r="U23">
        <f t="shared" si="5"/>
        <v>0</v>
      </c>
      <c r="V23" t="s">
        <v>65</v>
      </c>
      <c r="W23">
        <f t="shared" si="6"/>
        <v>0</v>
      </c>
      <c r="X23" t="s">
        <v>66</v>
      </c>
      <c r="Y23">
        <f t="shared" si="19"/>
        <v>0</v>
      </c>
      <c r="Z23" t="s">
        <v>70</v>
      </c>
      <c r="AA23">
        <f t="shared" si="7"/>
        <v>-1</v>
      </c>
      <c r="AB23" s="2">
        <f t="shared" si="8"/>
        <v>0</v>
      </c>
      <c r="AC23" s="2">
        <f t="shared" si="0"/>
        <v>0</v>
      </c>
      <c r="AD23" t="s">
        <v>65</v>
      </c>
      <c r="AE23">
        <f t="shared" si="9"/>
        <v>0</v>
      </c>
      <c r="AF23" t="s">
        <v>67</v>
      </c>
      <c r="AG23">
        <f t="shared" si="10"/>
        <v>-1</v>
      </c>
      <c r="AH23" t="s">
        <v>67</v>
      </c>
      <c r="AI23">
        <f t="shared" si="11"/>
        <v>1</v>
      </c>
      <c r="AJ23" t="s">
        <v>68</v>
      </c>
      <c r="AK23">
        <f t="shared" si="12"/>
        <v>1</v>
      </c>
      <c r="AL23" t="s">
        <v>67</v>
      </c>
      <c r="AM23">
        <f t="shared" si="13"/>
        <v>-1</v>
      </c>
      <c r="AN23" t="s">
        <v>67</v>
      </c>
      <c r="AO23">
        <f t="shared" si="14"/>
        <v>-1</v>
      </c>
      <c r="AP23" t="s">
        <v>68</v>
      </c>
      <c r="AQ23">
        <f t="shared" si="15"/>
        <v>-1</v>
      </c>
      <c r="AR23" t="s">
        <v>67</v>
      </c>
      <c r="AS23">
        <f t="shared" si="16"/>
        <v>1</v>
      </c>
      <c r="AT23" t="s">
        <v>69</v>
      </c>
      <c r="AU23">
        <f t="shared" si="17"/>
        <v>1</v>
      </c>
      <c r="AV23" s="2">
        <f t="shared" si="18"/>
        <v>0</v>
      </c>
      <c r="AW23" s="1" t="s">
        <v>132</v>
      </c>
      <c r="AX23" t="s">
        <v>67</v>
      </c>
      <c r="AY23" t="s">
        <v>67</v>
      </c>
      <c r="AZ23" t="s">
        <v>65</v>
      </c>
      <c r="BA23" t="s">
        <v>65</v>
      </c>
      <c r="BB23" t="s">
        <v>69</v>
      </c>
      <c r="BC23" t="s">
        <v>65</v>
      </c>
      <c r="BD23" t="s">
        <v>65</v>
      </c>
      <c r="BE23" t="s">
        <v>65</v>
      </c>
      <c r="BF23" t="s">
        <v>69</v>
      </c>
      <c r="BG23" t="s">
        <v>67</v>
      </c>
      <c r="BH23" t="s">
        <v>67</v>
      </c>
      <c r="BM23" t="s">
        <v>71</v>
      </c>
      <c r="BY23" t="s">
        <v>73</v>
      </c>
      <c r="BZ23" t="s">
        <v>72</v>
      </c>
      <c r="CA23" t="s">
        <v>73</v>
      </c>
    </row>
    <row r="24" spans="1:79" x14ac:dyDescent="0.25">
      <c r="A24">
        <v>45553.853533576388</v>
      </c>
      <c r="B24" t="s">
        <v>119</v>
      </c>
      <c r="C24">
        <v>1997</v>
      </c>
      <c r="D24" t="s">
        <v>75</v>
      </c>
      <c r="E24" t="s">
        <v>60</v>
      </c>
      <c r="F24" t="s">
        <v>76</v>
      </c>
      <c r="G24" t="s">
        <v>76</v>
      </c>
      <c r="H24" t="s">
        <v>113</v>
      </c>
      <c r="I24" t="s">
        <v>89</v>
      </c>
      <c r="J24" t="s">
        <v>90</v>
      </c>
      <c r="K24" s="1" t="s">
        <v>132</v>
      </c>
      <c r="L24" t="s">
        <v>65</v>
      </c>
      <c r="M24">
        <f t="shared" si="1"/>
        <v>0</v>
      </c>
      <c r="N24" t="s">
        <v>66</v>
      </c>
      <c r="O24">
        <f t="shared" si="2"/>
        <v>0</v>
      </c>
      <c r="P24" t="s">
        <v>67</v>
      </c>
      <c r="Q24">
        <f t="shared" si="3"/>
        <v>-1</v>
      </c>
      <c r="R24" t="s">
        <v>67</v>
      </c>
      <c r="S24">
        <f t="shared" si="4"/>
        <v>1</v>
      </c>
      <c r="T24" t="s">
        <v>65</v>
      </c>
      <c r="U24">
        <f t="shared" si="5"/>
        <v>0</v>
      </c>
      <c r="V24" t="s">
        <v>66</v>
      </c>
      <c r="W24">
        <f t="shared" si="6"/>
        <v>0</v>
      </c>
      <c r="X24" t="s">
        <v>66</v>
      </c>
      <c r="Y24">
        <f t="shared" si="19"/>
        <v>0</v>
      </c>
      <c r="Z24" t="s">
        <v>66</v>
      </c>
      <c r="AA24">
        <f t="shared" si="7"/>
        <v>0</v>
      </c>
      <c r="AB24" s="2">
        <f t="shared" si="8"/>
        <v>0</v>
      </c>
      <c r="AC24" s="2">
        <f t="shared" si="0"/>
        <v>0</v>
      </c>
      <c r="AD24" t="s">
        <v>67</v>
      </c>
      <c r="AE24">
        <f t="shared" si="9"/>
        <v>1</v>
      </c>
      <c r="AF24" t="s">
        <v>66</v>
      </c>
      <c r="AG24">
        <f t="shared" si="10"/>
        <v>0</v>
      </c>
      <c r="AH24" t="s">
        <v>70</v>
      </c>
      <c r="AI24">
        <f t="shared" si="11"/>
        <v>-1</v>
      </c>
      <c r="AJ24" t="s">
        <v>70</v>
      </c>
      <c r="AK24">
        <f t="shared" si="12"/>
        <v>-1</v>
      </c>
      <c r="AL24" t="s">
        <v>69</v>
      </c>
      <c r="AM24">
        <f t="shared" si="13"/>
        <v>1</v>
      </c>
      <c r="AN24" t="s">
        <v>65</v>
      </c>
      <c r="AO24">
        <f t="shared" si="14"/>
        <v>0</v>
      </c>
      <c r="AP24" t="s">
        <v>66</v>
      </c>
      <c r="AQ24">
        <f t="shared" si="15"/>
        <v>0</v>
      </c>
      <c r="AR24" t="s">
        <v>66</v>
      </c>
      <c r="AS24">
        <f t="shared" si="16"/>
        <v>0</v>
      </c>
      <c r="AT24" t="s">
        <v>70</v>
      </c>
      <c r="AU24">
        <f t="shared" si="17"/>
        <v>1</v>
      </c>
      <c r="AV24" s="2">
        <f t="shared" si="18"/>
        <v>1</v>
      </c>
      <c r="AW24" s="1" t="s">
        <v>132</v>
      </c>
      <c r="AX24" t="s">
        <v>70</v>
      </c>
      <c r="AY24" t="s">
        <v>65</v>
      </c>
      <c r="AZ24" t="s">
        <v>65</v>
      </c>
      <c r="BA24" t="s">
        <v>65</v>
      </c>
      <c r="BB24" t="s">
        <v>68</v>
      </c>
      <c r="BC24" t="s">
        <v>70</v>
      </c>
      <c r="BD24" t="s">
        <v>69</v>
      </c>
      <c r="BE24" t="s">
        <v>66</v>
      </c>
      <c r="BF24" t="s">
        <v>70</v>
      </c>
      <c r="BG24" t="s">
        <v>65</v>
      </c>
      <c r="BH24" t="s">
        <v>68</v>
      </c>
      <c r="BN24" t="s">
        <v>71</v>
      </c>
      <c r="BQ24" t="s">
        <v>71</v>
      </c>
      <c r="BY24" t="s">
        <v>79</v>
      </c>
      <c r="BZ24" t="s">
        <v>79</v>
      </c>
      <c r="CA24" t="s">
        <v>79</v>
      </c>
    </row>
    <row r="25" spans="1:79" x14ac:dyDescent="0.25">
      <c r="A25">
        <v>45553.862978541671</v>
      </c>
      <c r="B25" t="s">
        <v>120</v>
      </c>
      <c r="C25">
        <v>2001</v>
      </c>
      <c r="D25" t="s">
        <v>59</v>
      </c>
      <c r="E25" t="s">
        <v>95</v>
      </c>
      <c r="F25" t="s">
        <v>96</v>
      </c>
      <c r="G25" t="s">
        <v>96</v>
      </c>
      <c r="H25" t="s">
        <v>62</v>
      </c>
      <c r="I25" t="s">
        <v>63</v>
      </c>
      <c r="J25" t="s">
        <v>77</v>
      </c>
      <c r="K25" s="1" t="s">
        <v>132</v>
      </c>
      <c r="L25" t="s">
        <v>68</v>
      </c>
      <c r="M25">
        <f t="shared" si="1"/>
        <v>-1</v>
      </c>
      <c r="N25" t="s">
        <v>69</v>
      </c>
      <c r="O25">
        <f t="shared" si="2"/>
        <v>-1</v>
      </c>
      <c r="P25" t="s">
        <v>70</v>
      </c>
      <c r="Q25">
        <f t="shared" si="3"/>
        <v>1</v>
      </c>
      <c r="R25" t="s">
        <v>67</v>
      </c>
      <c r="S25">
        <f t="shared" si="4"/>
        <v>1</v>
      </c>
      <c r="T25" t="s">
        <v>65</v>
      </c>
      <c r="U25">
        <f t="shared" si="5"/>
        <v>0</v>
      </c>
      <c r="V25" t="s">
        <v>65</v>
      </c>
      <c r="W25">
        <f t="shared" si="6"/>
        <v>0</v>
      </c>
      <c r="X25" t="s">
        <v>68</v>
      </c>
      <c r="Y25">
        <f t="shared" si="19"/>
        <v>1</v>
      </c>
      <c r="Z25" t="s">
        <v>69</v>
      </c>
      <c r="AA25">
        <f t="shared" si="7"/>
        <v>-1</v>
      </c>
      <c r="AB25" s="2">
        <f t="shared" si="8"/>
        <v>0</v>
      </c>
      <c r="AC25" s="2">
        <f t="shared" si="0"/>
        <v>0</v>
      </c>
      <c r="AD25" t="s">
        <v>70</v>
      </c>
      <c r="AE25">
        <f t="shared" si="9"/>
        <v>-1</v>
      </c>
      <c r="AF25" t="s">
        <v>68</v>
      </c>
      <c r="AG25">
        <f t="shared" si="10"/>
        <v>-1</v>
      </c>
      <c r="AH25" t="s">
        <v>65</v>
      </c>
      <c r="AI25">
        <f t="shared" si="11"/>
        <v>0</v>
      </c>
      <c r="AJ25" t="s">
        <v>70</v>
      </c>
      <c r="AK25">
        <f t="shared" si="12"/>
        <v>-1</v>
      </c>
      <c r="AL25" t="s">
        <v>67</v>
      </c>
      <c r="AM25">
        <f t="shared" si="13"/>
        <v>-1</v>
      </c>
      <c r="AN25" t="s">
        <v>70</v>
      </c>
      <c r="AO25">
        <f t="shared" si="14"/>
        <v>1</v>
      </c>
      <c r="AP25" t="s">
        <v>65</v>
      </c>
      <c r="AQ25">
        <f t="shared" si="15"/>
        <v>0</v>
      </c>
      <c r="AR25" t="s">
        <v>68</v>
      </c>
      <c r="AS25">
        <f t="shared" si="16"/>
        <v>1</v>
      </c>
      <c r="AT25" t="s">
        <v>70</v>
      </c>
      <c r="AU25">
        <f t="shared" si="17"/>
        <v>1</v>
      </c>
      <c r="AV25" s="2">
        <f t="shared" si="18"/>
        <v>-1</v>
      </c>
      <c r="AW25" s="1" t="s">
        <v>132</v>
      </c>
      <c r="AX25" t="s">
        <v>65</v>
      </c>
      <c r="AY25" t="s">
        <v>65</v>
      </c>
      <c r="AZ25" t="s">
        <v>66</v>
      </c>
      <c r="BA25" t="s">
        <v>65</v>
      </c>
      <c r="BB25" t="s">
        <v>69</v>
      </c>
      <c r="BC25" t="s">
        <v>70</v>
      </c>
      <c r="BD25" t="s">
        <v>70</v>
      </c>
      <c r="BE25" t="s">
        <v>70</v>
      </c>
      <c r="BF25" t="s">
        <v>68</v>
      </c>
      <c r="BG25" t="s">
        <v>67</v>
      </c>
      <c r="BH25" t="s">
        <v>66</v>
      </c>
      <c r="BI25" t="s">
        <v>71</v>
      </c>
      <c r="BS25" t="s">
        <v>71</v>
      </c>
      <c r="BY25" t="s">
        <v>73</v>
      </c>
      <c r="BZ25" t="s">
        <v>73</v>
      </c>
      <c r="CA25" t="s">
        <v>73</v>
      </c>
    </row>
    <row r="26" spans="1:79" x14ac:dyDescent="0.25">
      <c r="A26">
        <v>45553.880205821755</v>
      </c>
      <c r="B26" t="s">
        <v>121</v>
      </c>
      <c r="C26">
        <v>2000</v>
      </c>
      <c r="D26" t="s">
        <v>75</v>
      </c>
      <c r="E26" t="s">
        <v>60</v>
      </c>
      <c r="F26" t="s">
        <v>112</v>
      </c>
      <c r="G26" t="s">
        <v>82</v>
      </c>
      <c r="H26" t="s">
        <v>113</v>
      </c>
      <c r="I26" t="s">
        <v>122</v>
      </c>
      <c r="J26" t="s">
        <v>64</v>
      </c>
      <c r="K26" s="1" t="s">
        <v>132</v>
      </c>
      <c r="L26" t="s">
        <v>67</v>
      </c>
      <c r="M26">
        <f t="shared" si="1"/>
        <v>-1</v>
      </c>
      <c r="N26" t="s">
        <v>66</v>
      </c>
      <c r="O26">
        <f t="shared" si="2"/>
        <v>0</v>
      </c>
      <c r="P26" t="s">
        <v>67</v>
      </c>
      <c r="Q26">
        <f t="shared" si="3"/>
        <v>-1</v>
      </c>
      <c r="R26" t="s">
        <v>65</v>
      </c>
      <c r="S26">
        <f t="shared" si="4"/>
        <v>0</v>
      </c>
      <c r="T26" t="s">
        <v>67</v>
      </c>
      <c r="U26">
        <f t="shared" si="5"/>
        <v>-1</v>
      </c>
      <c r="V26" t="s">
        <v>67</v>
      </c>
      <c r="W26">
        <f t="shared" si="6"/>
        <v>1</v>
      </c>
      <c r="X26" t="s">
        <v>66</v>
      </c>
      <c r="Y26">
        <f t="shared" si="19"/>
        <v>0</v>
      </c>
      <c r="Z26" t="s">
        <v>69</v>
      </c>
      <c r="AA26">
        <f t="shared" si="7"/>
        <v>-1</v>
      </c>
      <c r="AB26" s="2">
        <f t="shared" si="8"/>
        <v>-3</v>
      </c>
      <c r="AC26" s="2">
        <f t="shared" si="0"/>
        <v>-3.375</v>
      </c>
      <c r="AD26" t="s">
        <v>66</v>
      </c>
      <c r="AE26">
        <f t="shared" si="9"/>
        <v>0</v>
      </c>
      <c r="AF26" t="s">
        <v>67</v>
      </c>
      <c r="AG26">
        <f t="shared" si="10"/>
        <v>-1</v>
      </c>
      <c r="AH26" t="s">
        <v>69</v>
      </c>
      <c r="AI26">
        <f t="shared" si="11"/>
        <v>-1</v>
      </c>
      <c r="AJ26" t="s">
        <v>69</v>
      </c>
      <c r="AK26">
        <f t="shared" si="12"/>
        <v>-1</v>
      </c>
      <c r="AL26" t="s">
        <v>68</v>
      </c>
      <c r="AM26">
        <f t="shared" si="13"/>
        <v>-1</v>
      </c>
      <c r="AN26" t="s">
        <v>69</v>
      </c>
      <c r="AO26">
        <f t="shared" si="14"/>
        <v>1</v>
      </c>
      <c r="AP26" t="s">
        <v>67</v>
      </c>
      <c r="AQ26">
        <f t="shared" si="15"/>
        <v>-1</v>
      </c>
      <c r="AR26" t="s">
        <v>67</v>
      </c>
      <c r="AS26">
        <f t="shared" si="16"/>
        <v>1</v>
      </c>
      <c r="AT26" t="s">
        <v>69</v>
      </c>
      <c r="AU26">
        <f t="shared" si="17"/>
        <v>1</v>
      </c>
      <c r="AV26" s="2">
        <f t="shared" si="18"/>
        <v>-2</v>
      </c>
      <c r="AW26" s="1" t="s">
        <v>132</v>
      </c>
      <c r="AX26" t="s">
        <v>67</v>
      </c>
      <c r="AY26" t="s">
        <v>67</v>
      </c>
      <c r="AZ26" t="s">
        <v>69</v>
      </c>
      <c r="BA26" t="s">
        <v>66</v>
      </c>
      <c r="BB26" t="s">
        <v>66</v>
      </c>
      <c r="BC26" t="s">
        <v>66</v>
      </c>
      <c r="BD26" t="s">
        <v>66</v>
      </c>
      <c r="BE26" t="s">
        <v>66</v>
      </c>
      <c r="BF26" t="s">
        <v>67</v>
      </c>
      <c r="BG26" t="s">
        <v>67</v>
      </c>
      <c r="BH26" t="s">
        <v>67</v>
      </c>
      <c r="BI26" t="s">
        <v>71</v>
      </c>
      <c r="BJ26" t="s">
        <v>71</v>
      </c>
      <c r="BK26" t="s">
        <v>71</v>
      </c>
      <c r="BL26" t="s">
        <v>71</v>
      </c>
      <c r="BM26" t="s">
        <v>71</v>
      </c>
      <c r="BN26" t="s">
        <v>71</v>
      </c>
      <c r="BO26" t="s">
        <v>71</v>
      </c>
      <c r="BP26" t="s">
        <v>71</v>
      </c>
      <c r="BQ26" t="s">
        <v>71</v>
      </c>
      <c r="BR26" t="s">
        <v>71</v>
      </c>
      <c r="BS26" t="s">
        <v>71</v>
      </c>
      <c r="BT26" t="s">
        <v>71</v>
      </c>
      <c r="BU26" t="s">
        <v>71</v>
      </c>
      <c r="BV26" t="s">
        <v>71</v>
      </c>
      <c r="BW26" t="s">
        <v>71</v>
      </c>
      <c r="BX26" t="s">
        <v>71</v>
      </c>
      <c r="BY26" t="s">
        <v>123</v>
      </c>
      <c r="BZ26" t="s">
        <v>98</v>
      </c>
      <c r="CA26" t="s">
        <v>98</v>
      </c>
    </row>
    <row r="27" spans="1:79" x14ac:dyDescent="0.25">
      <c r="A27">
        <v>45554.362967569439</v>
      </c>
      <c r="B27" t="s">
        <v>124</v>
      </c>
      <c r="C27">
        <v>2001</v>
      </c>
      <c r="D27" t="s">
        <v>59</v>
      </c>
      <c r="E27" t="s">
        <v>95</v>
      </c>
      <c r="F27" t="s">
        <v>76</v>
      </c>
      <c r="G27" t="s">
        <v>76</v>
      </c>
      <c r="H27" t="s">
        <v>62</v>
      </c>
      <c r="I27" t="s">
        <v>63</v>
      </c>
      <c r="J27" t="s">
        <v>90</v>
      </c>
      <c r="K27" s="1" t="s">
        <v>132</v>
      </c>
      <c r="L27" t="s">
        <v>66</v>
      </c>
      <c r="M27">
        <f t="shared" si="1"/>
        <v>0</v>
      </c>
      <c r="N27" t="s">
        <v>65</v>
      </c>
      <c r="O27">
        <f t="shared" si="2"/>
        <v>0</v>
      </c>
      <c r="P27" t="s">
        <v>67</v>
      </c>
      <c r="Q27">
        <f t="shared" si="3"/>
        <v>-1</v>
      </c>
      <c r="R27" t="s">
        <v>65</v>
      </c>
      <c r="S27">
        <f t="shared" si="4"/>
        <v>0</v>
      </c>
      <c r="T27" t="s">
        <v>66</v>
      </c>
      <c r="U27">
        <f t="shared" si="5"/>
        <v>0</v>
      </c>
      <c r="V27" t="s">
        <v>66</v>
      </c>
      <c r="W27">
        <f t="shared" si="6"/>
        <v>0</v>
      </c>
      <c r="X27" t="s">
        <v>67</v>
      </c>
      <c r="Y27">
        <f t="shared" si="19"/>
        <v>1</v>
      </c>
      <c r="Z27" t="s">
        <v>69</v>
      </c>
      <c r="AA27">
        <f t="shared" si="7"/>
        <v>-1</v>
      </c>
      <c r="AB27" s="2">
        <f t="shared" si="8"/>
        <v>-1</v>
      </c>
      <c r="AC27" s="2">
        <f t="shared" si="0"/>
        <v>-1.125</v>
      </c>
      <c r="AD27" t="s">
        <v>66</v>
      </c>
      <c r="AE27">
        <f t="shared" si="9"/>
        <v>0</v>
      </c>
      <c r="AF27" t="s">
        <v>67</v>
      </c>
      <c r="AG27">
        <f t="shared" si="10"/>
        <v>-1</v>
      </c>
      <c r="AH27" t="s">
        <v>69</v>
      </c>
      <c r="AI27">
        <f t="shared" si="11"/>
        <v>-1</v>
      </c>
      <c r="AJ27" t="s">
        <v>70</v>
      </c>
      <c r="AK27">
        <f t="shared" si="12"/>
        <v>-1</v>
      </c>
      <c r="AL27" t="s">
        <v>65</v>
      </c>
      <c r="AM27">
        <f t="shared" si="13"/>
        <v>0</v>
      </c>
      <c r="AN27" t="s">
        <v>69</v>
      </c>
      <c r="AO27">
        <f t="shared" si="14"/>
        <v>1</v>
      </c>
      <c r="AP27" t="s">
        <v>65</v>
      </c>
      <c r="AQ27">
        <f t="shared" si="15"/>
        <v>0</v>
      </c>
      <c r="AR27" t="s">
        <v>67</v>
      </c>
      <c r="AS27">
        <f t="shared" si="16"/>
        <v>1</v>
      </c>
      <c r="AT27" t="s">
        <v>70</v>
      </c>
      <c r="AU27">
        <f t="shared" si="17"/>
        <v>1</v>
      </c>
      <c r="AV27" s="2">
        <f t="shared" si="18"/>
        <v>0</v>
      </c>
      <c r="AW27" s="1" t="s">
        <v>132</v>
      </c>
      <c r="AX27" t="s">
        <v>67</v>
      </c>
      <c r="AY27" t="s">
        <v>65</v>
      </c>
      <c r="AZ27" t="s">
        <v>70</v>
      </c>
      <c r="BA27" t="s">
        <v>69</v>
      </c>
      <c r="BB27" t="s">
        <v>70</v>
      </c>
      <c r="BC27" t="s">
        <v>65</v>
      </c>
      <c r="BD27" t="s">
        <v>66</v>
      </c>
      <c r="BE27" t="s">
        <v>67</v>
      </c>
      <c r="BF27" t="s">
        <v>68</v>
      </c>
      <c r="BG27" t="s">
        <v>66</v>
      </c>
      <c r="BH27" t="s">
        <v>66</v>
      </c>
      <c r="BI27" t="s">
        <v>71</v>
      </c>
      <c r="BM27" t="s">
        <v>71</v>
      </c>
      <c r="BN27" t="s">
        <v>71</v>
      </c>
      <c r="BP27" t="s">
        <v>71</v>
      </c>
      <c r="BS27" t="s">
        <v>71</v>
      </c>
      <c r="BY27" t="s">
        <v>72</v>
      </c>
      <c r="BZ27" t="s">
        <v>73</v>
      </c>
      <c r="CA27" t="s">
        <v>73</v>
      </c>
    </row>
    <row r="28" spans="1:79" x14ac:dyDescent="0.25">
      <c r="A28">
        <v>45554.667973495365</v>
      </c>
      <c r="B28" t="s">
        <v>125</v>
      </c>
      <c r="C28">
        <v>2002</v>
      </c>
      <c r="D28" t="s">
        <v>59</v>
      </c>
      <c r="E28" t="s">
        <v>95</v>
      </c>
      <c r="F28" t="s">
        <v>61</v>
      </c>
      <c r="G28" t="s">
        <v>61</v>
      </c>
      <c r="H28" t="s">
        <v>83</v>
      </c>
      <c r="I28" t="s">
        <v>63</v>
      </c>
      <c r="J28" t="s">
        <v>64</v>
      </c>
      <c r="K28" s="1" t="s">
        <v>132</v>
      </c>
      <c r="L28" t="s">
        <v>69</v>
      </c>
      <c r="M28">
        <f t="shared" si="1"/>
        <v>1</v>
      </c>
      <c r="N28" t="s">
        <v>68</v>
      </c>
      <c r="O28">
        <f t="shared" si="2"/>
        <v>1</v>
      </c>
      <c r="P28" t="s">
        <v>70</v>
      </c>
      <c r="Q28">
        <f t="shared" si="3"/>
        <v>1</v>
      </c>
      <c r="R28" t="s">
        <v>67</v>
      </c>
      <c r="S28">
        <f t="shared" si="4"/>
        <v>1</v>
      </c>
      <c r="T28" t="s">
        <v>69</v>
      </c>
      <c r="U28">
        <f t="shared" si="5"/>
        <v>1</v>
      </c>
      <c r="V28" t="s">
        <v>69</v>
      </c>
      <c r="W28">
        <f t="shared" si="6"/>
        <v>-1</v>
      </c>
      <c r="X28" t="s">
        <v>67</v>
      </c>
      <c r="Y28">
        <f t="shared" si="19"/>
        <v>1</v>
      </c>
      <c r="Z28" t="s">
        <v>69</v>
      </c>
      <c r="AA28">
        <f t="shared" si="7"/>
        <v>-1</v>
      </c>
      <c r="AB28" s="2">
        <f t="shared" si="8"/>
        <v>4</v>
      </c>
      <c r="AC28" s="2">
        <f t="shared" si="0"/>
        <v>4.5</v>
      </c>
      <c r="AD28" t="s">
        <v>69</v>
      </c>
      <c r="AE28">
        <f t="shared" si="9"/>
        <v>-1</v>
      </c>
      <c r="AF28" t="s">
        <v>68</v>
      </c>
      <c r="AG28">
        <f t="shared" si="10"/>
        <v>-1</v>
      </c>
      <c r="AH28" t="s">
        <v>65</v>
      </c>
      <c r="AI28">
        <f t="shared" si="11"/>
        <v>0</v>
      </c>
      <c r="AJ28" t="s">
        <v>65</v>
      </c>
      <c r="AK28">
        <f t="shared" si="12"/>
        <v>0</v>
      </c>
      <c r="AL28" t="s">
        <v>68</v>
      </c>
      <c r="AM28">
        <f t="shared" si="13"/>
        <v>-1</v>
      </c>
      <c r="AN28" t="s">
        <v>70</v>
      </c>
      <c r="AO28">
        <f t="shared" si="14"/>
        <v>1</v>
      </c>
      <c r="AP28" t="s">
        <v>69</v>
      </c>
      <c r="AQ28">
        <f t="shared" si="15"/>
        <v>1</v>
      </c>
      <c r="AR28" t="s">
        <v>68</v>
      </c>
      <c r="AS28">
        <f t="shared" si="16"/>
        <v>1</v>
      </c>
      <c r="AT28" t="s">
        <v>67</v>
      </c>
      <c r="AU28">
        <f t="shared" si="17"/>
        <v>-1</v>
      </c>
      <c r="AV28" s="2">
        <f t="shared" si="18"/>
        <v>-1</v>
      </c>
      <c r="AW28" s="1" t="s">
        <v>132</v>
      </c>
      <c r="AX28" t="s">
        <v>67</v>
      </c>
      <c r="AY28" t="s">
        <v>65</v>
      </c>
      <c r="AZ28" t="s">
        <v>66</v>
      </c>
      <c r="BA28" t="s">
        <v>66</v>
      </c>
      <c r="BB28" t="s">
        <v>65</v>
      </c>
      <c r="BC28" t="s">
        <v>66</v>
      </c>
      <c r="BD28" t="s">
        <v>66</v>
      </c>
      <c r="BE28" t="s">
        <v>69</v>
      </c>
      <c r="BF28" t="s">
        <v>69</v>
      </c>
      <c r="BG28" t="s">
        <v>67</v>
      </c>
      <c r="BH28" t="s">
        <v>66</v>
      </c>
      <c r="BI28" t="s">
        <v>71</v>
      </c>
      <c r="BN28" t="s">
        <v>71</v>
      </c>
      <c r="BS28" t="s">
        <v>71</v>
      </c>
      <c r="BY28" t="s">
        <v>72</v>
      </c>
      <c r="BZ28" t="s">
        <v>73</v>
      </c>
      <c r="CA28" t="s">
        <v>73</v>
      </c>
    </row>
    <row r="29" spans="1:79" x14ac:dyDescent="0.25">
      <c r="A29">
        <v>45554.826449247688</v>
      </c>
      <c r="B29" t="s">
        <v>126</v>
      </c>
      <c r="C29">
        <v>2002</v>
      </c>
      <c r="D29" t="s">
        <v>81</v>
      </c>
      <c r="E29" t="s">
        <v>60</v>
      </c>
      <c r="F29" t="s">
        <v>82</v>
      </c>
      <c r="G29" t="s">
        <v>82</v>
      </c>
      <c r="H29" t="s">
        <v>113</v>
      </c>
      <c r="I29" t="s">
        <v>89</v>
      </c>
      <c r="J29" t="s">
        <v>90</v>
      </c>
      <c r="K29" s="1" t="s">
        <v>132</v>
      </c>
      <c r="L29" t="s">
        <v>66</v>
      </c>
      <c r="M29">
        <f t="shared" si="1"/>
        <v>0</v>
      </c>
      <c r="N29" t="s">
        <v>66</v>
      </c>
      <c r="O29">
        <f t="shared" si="2"/>
        <v>0</v>
      </c>
      <c r="P29" t="s">
        <v>68</v>
      </c>
      <c r="Q29">
        <f t="shared" si="3"/>
        <v>-1</v>
      </c>
      <c r="R29" t="s">
        <v>67</v>
      </c>
      <c r="S29">
        <f t="shared" si="4"/>
        <v>1</v>
      </c>
      <c r="T29" t="s">
        <v>66</v>
      </c>
      <c r="U29">
        <f t="shared" si="5"/>
        <v>0</v>
      </c>
      <c r="V29" t="s">
        <v>66</v>
      </c>
      <c r="W29">
        <f t="shared" si="6"/>
        <v>0</v>
      </c>
      <c r="X29" t="s">
        <v>65</v>
      </c>
      <c r="Y29">
        <f t="shared" si="19"/>
        <v>0</v>
      </c>
      <c r="Z29" t="s">
        <v>69</v>
      </c>
      <c r="AA29">
        <f t="shared" si="7"/>
        <v>-1</v>
      </c>
      <c r="AB29" s="2">
        <f t="shared" si="8"/>
        <v>-1</v>
      </c>
      <c r="AC29" s="2">
        <f t="shared" si="0"/>
        <v>-1.125</v>
      </c>
      <c r="AD29" t="s">
        <v>65</v>
      </c>
      <c r="AE29">
        <f t="shared" si="9"/>
        <v>0</v>
      </c>
      <c r="AF29" t="s">
        <v>67</v>
      </c>
      <c r="AG29">
        <f t="shared" si="10"/>
        <v>-1</v>
      </c>
      <c r="AH29" t="s">
        <v>70</v>
      </c>
      <c r="AI29">
        <f t="shared" si="11"/>
        <v>-1</v>
      </c>
      <c r="AJ29" t="s">
        <v>70</v>
      </c>
      <c r="AK29">
        <f t="shared" si="12"/>
        <v>-1</v>
      </c>
      <c r="AL29" t="s">
        <v>66</v>
      </c>
      <c r="AM29">
        <f t="shared" si="13"/>
        <v>0</v>
      </c>
      <c r="AN29" t="s">
        <v>66</v>
      </c>
      <c r="AO29">
        <f t="shared" si="14"/>
        <v>0</v>
      </c>
      <c r="AP29" t="s">
        <v>65</v>
      </c>
      <c r="AQ29">
        <f t="shared" si="15"/>
        <v>0</v>
      </c>
      <c r="AR29" t="s">
        <v>66</v>
      </c>
      <c r="AS29">
        <f t="shared" si="16"/>
        <v>0</v>
      </c>
      <c r="AT29" t="s">
        <v>70</v>
      </c>
      <c r="AU29">
        <f t="shared" si="17"/>
        <v>1</v>
      </c>
      <c r="AV29" s="2">
        <f t="shared" si="18"/>
        <v>-2</v>
      </c>
      <c r="AW29" s="1" t="s">
        <v>132</v>
      </c>
      <c r="AX29" t="s">
        <v>67</v>
      </c>
      <c r="AY29" t="s">
        <v>67</v>
      </c>
      <c r="AZ29" t="s">
        <v>66</v>
      </c>
      <c r="BA29" t="s">
        <v>66</v>
      </c>
      <c r="BB29" t="s">
        <v>70</v>
      </c>
      <c r="BC29" t="s">
        <v>66</v>
      </c>
      <c r="BD29" t="s">
        <v>69</v>
      </c>
      <c r="BE29" t="s">
        <v>66</v>
      </c>
      <c r="BF29" t="s">
        <v>69</v>
      </c>
      <c r="BG29" t="s">
        <v>67</v>
      </c>
      <c r="BH29" t="s">
        <v>65</v>
      </c>
      <c r="BL29" t="s">
        <v>71</v>
      </c>
      <c r="BN29" t="s">
        <v>71</v>
      </c>
      <c r="BY29" t="s">
        <v>72</v>
      </c>
      <c r="BZ29" t="s">
        <v>72</v>
      </c>
      <c r="CA29" t="s">
        <v>73</v>
      </c>
    </row>
    <row r="30" spans="1:79" x14ac:dyDescent="0.25">
      <c r="A30">
        <v>45556.729685636572</v>
      </c>
      <c r="B30" t="s">
        <v>127</v>
      </c>
      <c r="C30">
        <v>2000</v>
      </c>
      <c r="D30" t="s">
        <v>75</v>
      </c>
      <c r="E30" t="s">
        <v>95</v>
      </c>
      <c r="F30" t="s">
        <v>96</v>
      </c>
      <c r="G30" t="s">
        <v>76</v>
      </c>
      <c r="H30" t="s">
        <v>83</v>
      </c>
      <c r="I30" t="s">
        <v>128</v>
      </c>
      <c r="J30" t="s">
        <v>90</v>
      </c>
      <c r="K30" s="1" t="s">
        <v>132</v>
      </c>
      <c r="L30" t="s">
        <v>68</v>
      </c>
      <c r="M30">
        <f t="shared" si="1"/>
        <v>-1</v>
      </c>
      <c r="N30" t="s">
        <v>70</v>
      </c>
      <c r="O30">
        <f t="shared" si="2"/>
        <v>-1</v>
      </c>
      <c r="P30" t="s">
        <v>68</v>
      </c>
      <c r="Q30">
        <f t="shared" si="3"/>
        <v>-1</v>
      </c>
      <c r="R30" t="s">
        <v>69</v>
      </c>
      <c r="S30">
        <f t="shared" si="4"/>
        <v>-1</v>
      </c>
      <c r="T30" t="s">
        <v>68</v>
      </c>
      <c r="U30">
        <f t="shared" si="5"/>
        <v>-1</v>
      </c>
      <c r="V30" t="s">
        <v>66</v>
      </c>
      <c r="W30">
        <f t="shared" si="6"/>
        <v>0</v>
      </c>
      <c r="X30" t="s">
        <v>69</v>
      </c>
      <c r="Y30">
        <f t="shared" si="19"/>
        <v>-1</v>
      </c>
      <c r="Z30" t="s">
        <v>70</v>
      </c>
      <c r="AA30">
        <f t="shared" si="7"/>
        <v>-1</v>
      </c>
      <c r="AB30" s="2">
        <f t="shared" si="8"/>
        <v>-7</v>
      </c>
      <c r="AC30" s="2">
        <f t="shared" si="0"/>
        <v>-7.875</v>
      </c>
      <c r="AD30" t="s">
        <v>67</v>
      </c>
      <c r="AE30">
        <f t="shared" si="9"/>
        <v>1</v>
      </c>
      <c r="AF30" t="s">
        <v>66</v>
      </c>
      <c r="AG30">
        <f t="shared" si="10"/>
        <v>0</v>
      </c>
      <c r="AH30" t="s">
        <v>70</v>
      </c>
      <c r="AI30">
        <f t="shared" si="11"/>
        <v>-1</v>
      </c>
      <c r="AJ30" t="s">
        <v>70</v>
      </c>
      <c r="AK30">
        <f t="shared" si="12"/>
        <v>-1</v>
      </c>
      <c r="AL30" t="s">
        <v>68</v>
      </c>
      <c r="AM30">
        <f t="shared" si="13"/>
        <v>-1</v>
      </c>
      <c r="AN30" t="s">
        <v>65</v>
      </c>
      <c r="AO30">
        <f t="shared" si="14"/>
        <v>0</v>
      </c>
      <c r="AP30" t="s">
        <v>67</v>
      </c>
      <c r="AQ30">
        <f t="shared" si="15"/>
        <v>-1</v>
      </c>
      <c r="AR30" t="s">
        <v>70</v>
      </c>
      <c r="AS30">
        <f t="shared" si="16"/>
        <v>-1</v>
      </c>
      <c r="AT30" t="s">
        <v>70</v>
      </c>
      <c r="AU30">
        <f t="shared" si="17"/>
        <v>1</v>
      </c>
      <c r="AV30" s="2">
        <f t="shared" si="18"/>
        <v>-3</v>
      </c>
      <c r="AW30" s="1" t="s">
        <v>132</v>
      </c>
      <c r="AX30" t="s">
        <v>70</v>
      </c>
      <c r="AY30" t="s">
        <v>66</v>
      </c>
      <c r="AZ30" t="s">
        <v>68</v>
      </c>
      <c r="BA30" t="s">
        <v>69</v>
      </c>
      <c r="BB30" t="s">
        <v>67</v>
      </c>
      <c r="BC30" t="s">
        <v>70</v>
      </c>
      <c r="BD30" t="s">
        <v>70</v>
      </c>
      <c r="BE30" t="s">
        <v>70</v>
      </c>
      <c r="BF30" t="s">
        <v>70</v>
      </c>
      <c r="BG30" t="s">
        <v>68</v>
      </c>
      <c r="BH30" t="s">
        <v>69</v>
      </c>
      <c r="BK30" t="s">
        <v>71</v>
      </c>
      <c r="BL30" t="s">
        <v>71</v>
      </c>
      <c r="BQ30" t="s">
        <v>71</v>
      </c>
      <c r="BR30" t="s">
        <v>71</v>
      </c>
      <c r="BV30" t="s">
        <v>71</v>
      </c>
      <c r="BW30" t="s">
        <v>71</v>
      </c>
      <c r="BY30" t="s">
        <v>101</v>
      </c>
      <c r="BZ30" t="s">
        <v>79</v>
      </c>
      <c r="CA30" t="s">
        <v>79</v>
      </c>
    </row>
    <row r="31" spans="1:79" x14ac:dyDescent="0.25">
      <c r="A31">
        <v>45560.55297287037</v>
      </c>
      <c r="B31" t="s">
        <v>129</v>
      </c>
      <c r="C31">
        <v>1999</v>
      </c>
      <c r="D31" t="s">
        <v>59</v>
      </c>
      <c r="E31" t="s">
        <v>130</v>
      </c>
      <c r="F31" t="s">
        <v>76</v>
      </c>
      <c r="G31" t="s">
        <v>96</v>
      </c>
      <c r="H31" t="s">
        <v>83</v>
      </c>
      <c r="I31" t="s">
        <v>89</v>
      </c>
      <c r="J31" t="s">
        <v>77</v>
      </c>
      <c r="K31" s="1" t="s">
        <v>132</v>
      </c>
      <c r="L31" t="s">
        <v>67</v>
      </c>
      <c r="M31">
        <f t="shared" si="1"/>
        <v>-1</v>
      </c>
      <c r="N31" t="s">
        <v>69</v>
      </c>
      <c r="O31">
        <f t="shared" si="2"/>
        <v>-1</v>
      </c>
      <c r="P31" t="s">
        <v>68</v>
      </c>
      <c r="Q31">
        <f t="shared" si="3"/>
        <v>-1</v>
      </c>
      <c r="R31" t="s">
        <v>70</v>
      </c>
      <c r="S31">
        <f t="shared" si="4"/>
        <v>-1</v>
      </c>
      <c r="T31" t="s">
        <v>67</v>
      </c>
      <c r="U31">
        <f t="shared" si="5"/>
        <v>-1</v>
      </c>
      <c r="V31" t="s">
        <v>65</v>
      </c>
      <c r="W31">
        <f t="shared" si="6"/>
        <v>0</v>
      </c>
      <c r="X31" t="s">
        <v>66</v>
      </c>
      <c r="Y31">
        <f t="shared" si="19"/>
        <v>0</v>
      </c>
      <c r="Z31" t="s">
        <v>70</v>
      </c>
      <c r="AA31">
        <f t="shared" si="7"/>
        <v>-1</v>
      </c>
      <c r="AB31" s="2">
        <f t="shared" si="8"/>
        <v>-6</v>
      </c>
      <c r="AC31" s="2">
        <f t="shared" si="0"/>
        <v>-6.75</v>
      </c>
      <c r="AD31" t="s">
        <v>69</v>
      </c>
      <c r="AE31">
        <f t="shared" si="9"/>
        <v>-1</v>
      </c>
      <c r="AF31" t="s">
        <v>69</v>
      </c>
      <c r="AG31">
        <f t="shared" si="10"/>
        <v>1</v>
      </c>
      <c r="AH31" t="s">
        <v>70</v>
      </c>
      <c r="AI31">
        <f t="shared" si="11"/>
        <v>-1</v>
      </c>
      <c r="AJ31" t="s">
        <v>70</v>
      </c>
      <c r="AK31">
        <f t="shared" si="12"/>
        <v>-1</v>
      </c>
      <c r="AL31" t="s">
        <v>68</v>
      </c>
      <c r="AM31">
        <f t="shared" si="13"/>
        <v>-1</v>
      </c>
      <c r="AN31" t="s">
        <v>65</v>
      </c>
      <c r="AO31">
        <f t="shared" si="14"/>
        <v>0</v>
      </c>
      <c r="AP31" t="s">
        <v>67</v>
      </c>
      <c r="AQ31">
        <f t="shared" si="15"/>
        <v>-1</v>
      </c>
      <c r="AR31" t="s">
        <v>70</v>
      </c>
      <c r="AS31">
        <f t="shared" si="16"/>
        <v>-1</v>
      </c>
      <c r="AT31" t="s">
        <v>66</v>
      </c>
      <c r="AU31">
        <f t="shared" si="17"/>
        <v>0</v>
      </c>
      <c r="AV31" s="2">
        <f t="shared" si="18"/>
        <v>-5</v>
      </c>
      <c r="AW31" s="1" t="s">
        <v>132</v>
      </c>
      <c r="AX31" t="s">
        <v>70</v>
      </c>
      <c r="AY31" t="s">
        <v>66</v>
      </c>
      <c r="AZ31" t="s">
        <v>67</v>
      </c>
      <c r="BA31" t="s">
        <v>65</v>
      </c>
      <c r="BB31" t="s">
        <v>69</v>
      </c>
      <c r="BC31" t="s">
        <v>70</v>
      </c>
      <c r="BD31" t="s">
        <v>70</v>
      </c>
      <c r="BE31" t="s">
        <v>70</v>
      </c>
      <c r="BF31" t="s">
        <v>70</v>
      </c>
      <c r="BG31" t="s">
        <v>67</v>
      </c>
      <c r="BH31" t="s">
        <v>70</v>
      </c>
      <c r="BQ31" t="s">
        <v>71</v>
      </c>
      <c r="BR31" t="s">
        <v>71</v>
      </c>
      <c r="BV31" t="s">
        <v>71</v>
      </c>
      <c r="BY31" t="s">
        <v>79</v>
      </c>
      <c r="BZ31" t="s">
        <v>79</v>
      </c>
      <c r="CA31" t="s">
        <v>79</v>
      </c>
    </row>
    <row r="32" spans="1:79" x14ac:dyDescent="0.25">
      <c r="K32" s="1" t="s">
        <v>137</v>
      </c>
      <c r="M32">
        <f>+AVERAGE(M2:M31)</f>
        <v>0.13333333333333333</v>
      </c>
      <c r="N32" t="e">
        <f t="shared" ref="N32:AU32" si="20">+AVERAGE(N2:N31)</f>
        <v>#DIV/0!</v>
      </c>
      <c r="O32" s="3">
        <f t="shared" si="20"/>
        <v>-0.1</v>
      </c>
      <c r="P32" t="e">
        <f t="shared" si="20"/>
        <v>#DIV/0!</v>
      </c>
      <c r="Q32">
        <f t="shared" si="20"/>
        <v>-0.73333333333333328</v>
      </c>
      <c r="R32" t="e">
        <f t="shared" si="20"/>
        <v>#DIV/0!</v>
      </c>
      <c r="S32">
        <f t="shared" si="20"/>
        <v>0.5</v>
      </c>
      <c r="T32" t="e">
        <f t="shared" si="20"/>
        <v>#DIV/0!</v>
      </c>
      <c r="U32">
        <f t="shared" si="20"/>
        <v>6.6666666666666666E-2</v>
      </c>
      <c r="V32" t="e">
        <f t="shared" si="20"/>
        <v>#DIV/0!</v>
      </c>
      <c r="W32">
        <f t="shared" si="20"/>
        <v>0.36666666666666664</v>
      </c>
      <c r="X32" t="e">
        <f t="shared" si="20"/>
        <v>#DIV/0!</v>
      </c>
      <c r="Y32" t="e">
        <f t="shared" si="19"/>
        <v>#DIV/0!</v>
      </c>
      <c r="Z32" t="e">
        <f t="shared" si="20"/>
        <v>#DIV/0!</v>
      </c>
      <c r="AA32">
        <f t="shared" si="20"/>
        <v>-0.6</v>
      </c>
      <c r="AB32">
        <f t="shared" si="20"/>
        <v>-3.3333333333333333E-2</v>
      </c>
      <c r="AC32">
        <f t="shared" si="20"/>
        <v>-3.7499999999999999E-2</v>
      </c>
      <c r="AD32" t="e">
        <f t="shared" si="20"/>
        <v>#DIV/0!</v>
      </c>
      <c r="AE32">
        <f t="shared" si="20"/>
        <v>-0.33333333333333331</v>
      </c>
      <c r="AF32" t="e">
        <f t="shared" si="20"/>
        <v>#DIV/0!</v>
      </c>
      <c r="AG32">
        <f t="shared" si="20"/>
        <v>-0.6</v>
      </c>
      <c r="AH32" t="e">
        <f t="shared" si="20"/>
        <v>#DIV/0!</v>
      </c>
      <c r="AI32">
        <f t="shared" si="20"/>
        <v>-0.3</v>
      </c>
      <c r="AJ32" t="e">
        <f t="shared" si="20"/>
        <v>#DIV/0!</v>
      </c>
      <c r="AK32">
        <f t="shared" si="20"/>
        <v>-0.6333333333333333</v>
      </c>
      <c r="AL32" t="e">
        <f t="shared" si="20"/>
        <v>#DIV/0!</v>
      </c>
      <c r="AM32">
        <f t="shared" si="20"/>
        <v>-0.5</v>
      </c>
      <c r="AN32" t="e">
        <f t="shared" si="20"/>
        <v>#DIV/0!</v>
      </c>
      <c r="AO32">
        <f t="shared" si="20"/>
        <v>0.4</v>
      </c>
      <c r="AP32" t="e">
        <f t="shared" si="20"/>
        <v>#DIV/0!</v>
      </c>
      <c r="AQ32">
        <f t="shared" si="20"/>
        <v>-0.16666666666666666</v>
      </c>
      <c r="AR32" t="e">
        <f t="shared" si="20"/>
        <v>#DIV/0!</v>
      </c>
      <c r="AS32">
        <f t="shared" si="20"/>
        <v>0.4</v>
      </c>
      <c r="AT32" t="e">
        <f t="shared" si="20"/>
        <v>#DIV/0!</v>
      </c>
      <c r="AU32">
        <f t="shared" si="20"/>
        <v>0.73333333333333328</v>
      </c>
      <c r="AV32" s="2">
        <f>+AVERAGE(AV2:AV31)</f>
        <v>-1</v>
      </c>
      <c r="AW32" s="1"/>
    </row>
    <row r="33" spans="12:49" x14ac:dyDescent="0.25">
      <c r="L33" t="str">
        <f>IF(AS2="Totalmente de Acuerdo",1,IF(AS2="Muy de Acuerdo",0.66,IF(AS2="Levemente de Acuerdo",0.33,IF(AS2="Levemente en Desacuerdo",-0.33,IF(AS2="Muy en Desacuerdo",-0.66,IF(AS2="Totalmente en Desacuerdo",-1,"error"))))))</f>
        <v>error</v>
      </c>
      <c r="M33" t="str">
        <f t="shared" si="1"/>
        <v>error</v>
      </c>
      <c r="O33" t="str">
        <f t="shared" si="2"/>
        <v>error</v>
      </c>
      <c r="Q33" t="str">
        <f t="shared" si="3"/>
        <v>error</v>
      </c>
      <c r="S33" t="str">
        <f t="shared" si="4"/>
        <v>error</v>
      </c>
      <c r="U33" t="str">
        <f t="shared" si="5"/>
        <v>error</v>
      </c>
      <c r="W33" t="str">
        <f t="shared" si="6"/>
        <v>error</v>
      </c>
      <c r="Y33" t="str">
        <f t="shared" si="19"/>
        <v>error</v>
      </c>
      <c r="AA33" t="str">
        <f t="shared" si="7"/>
        <v>error</v>
      </c>
      <c r="AB33" s="2">
        <f t="shared" si="8"/>
        <v>0</v>
      </c>
      <c r="AC33" s="2">
        <f>+AB33*AB$35</f>
        <v>0</v>
      </c>
      <c r="AE33" t="str">
        <f t="shared" si="9"/>
        <v>error</v>
      </c>
      <c r="AF33" t="str">
        <f t="shared" ref="AF33:AR33" si="21">IF(AE2="Totalmente de Acuerdo",1,IF(AE2="Muy de Acuerdo",0.66,IF(AE2="Levemente de Acuerdo",0.33,IF(AE2="Levemente en Desacuerdo",-0.33,IF(AE2="Muy en Desacuerdo",-0.66,IF(AE2="Totalmente en Desacuerdo",-1,"error"))))))</f>
        <v>error</v>
      </c>
      <c r="AG33" t="str">
        <f t="shared" si="10"/>
        <v>error</v>
      </c>
      <c r="AH33" t="str">
        <f t="shared" si="21"/>
        <v>error</v>
      </c>
      <c r="AI33" t="str">
        <f t="shared" si="11"/>
        <v>error</v>
      </c>
      <c r="AJ33" t="str">
        <f t="shared" si="21"/>
        <v>error</v>
      </c>
      <c r="AK33" t="str">
        <f t="shared" si="12"/>
        <v>error</v>
      </c>
      <c r="AL33" t="str">
        <f t="shared" si="21"/>
        <v>error</v>
      </c>
      <c r="AM33" t="str">
        <f t="shared" si="13"/>
        <v>error</v>
      </c>
      <c r="AN33" t="str">
        <f t="shared" si="21"/>
        <v>error</v>
      </c>
      <c r="AO33" t="str">
        <f t="shared" si="14"/>
        <v>error</v>
      </c>
      <c r="AP33" t="str">
        <f t="shared" si="21"/>
        <v>error</v>
      </c>
      <c r="AQ33" t="str">
        <f t="shared" si="15"/>
        <v>error</v>
      </c>
      <c r="AR33" t="str">
        <f t="shared" si="21"/>
        <v>error</v>
      </c>
      <c r="AS33" t="str">
        <f t="shared" si="16"/>
        <v>error</v>
      </c>
      <c r="AT33" t="str">
        <f>IF(M2="Totalmente de Acuerdo",1,IF(M2="Muy de Acuerdo",0.66,IF(M2="Levemente de Acuerdo",0.33,IF(M2="Levemente en Desacuerdo",-0.33,IF(M2="Muy en Desacuerdo",-0.66,IF(M2="Totalmente en Desacuerdo",-1,"error"))))))</f>
        <v>error</v>
      </c>
      <c r="AU33" t="str">
        <f t="shared" si="17"/>
        <v>error</v>
      </c>
      <c r="AV33" s="2" t="e">
        <f t="shared" si="18"/>
        <v>#VALUE!</v>
      </c>
      <c r="AW33" s="1" t="s">
        <v>132</v>
      </c>
    </row>
    <row r="34" spans="12:49" x14ac:dyDescent="0.25">
      <c r="L34" t="str">
        <f>IF(AS2="Totalmente de Acuerdo",-1,IF(AS2="Muy de Acuerdo",-0.66,IF(AS2="Levemente de Acuerdo",-0.33,IF(AS2="Levemente en Desacuerdo",0.33,IF(AS2="Muy en Desacuerdo",0.66,IF(AS2="Totalmente en Desacuerdo",1,"error"))))))</f>
        <v>error</v>
      </c>
      <c r="M34" t="str">
        <f t="shared" si="1"/>
        <v>error</v>
      </c>
      <c r="O34" t="str">
        <f t="shared" si="2"/>
        <v>error</v>
      </c>
      <c r="Q34" t="str">
        <f t="shared" si="3"/>
        <v>error</v>
      </c>
      <c r="S34" t="str">
        <f t="shared" si="4"/>
        <v>error</v>
      </c>
      <c r="U34" t="str">
        <f t="shared" si="5"/>
        <v>error</v>
      </c>
      <c r="W34" t="str">
        <f t="shared" si="6"/>
        <v>error</v>
      </c>
      <c r="Y34" t="str">
        <f t="shared" si="19"/>
        <v>error</v>
      </c>
      <c r="AA34" t="str">
        <f t="shared" si="7"/>
        <v>error</v>
      </c>
      <c r="AB34" s="2">
        <f t="shared" si="8"/>
        <v>0</v>
      </c>
      <c r="AC34" s="2">
        <f>+AB34*AB$35</f>
        <v>0</v>
      </c>
      <c r="AE34" t="str">
        <f t="shared" si="9"/>
        <v>error</v>
      </c>
      <c r="AF34" t="str">
        <f t="shared" ref="AF34:AR34" si="22">IF(AE2="Totalmente de Acuerdo",-1,IF(AE2="Muy de Acuerdo",-0.66,IF(AE2="Levemente de Acuerdo",-0.33,IF(AE2="Levemente en Desacuerdo",0.33,IF(AE2="Muy en Desacuerdo",0.66,IF(AE2="Totalmente en Desacuerdo",1,"error"))))))</f>
        <v>error</v>
      </c>
      <c r="AG34" t="str">
        <f t="shared" si="10"/>
        <v>error</v>
      </c>
      <c r="AH34" t="str">
        <f t="shared" si="22"/>
        <v>error</v>
      </c>
      <c r="AI34" t="str">
        <f t="shared" si="11"/>
        <v>error</v>
      </c>
      <c r="AJ34" t="str">
        <f t="shared" si="22"/>
        <v>error</v>
      </c>
      <c r="AK34" t="str">
        <f t="shared" si="12"/>
        <v>error</v>
      </c>
      <c r="AL34" t="str">
        <f t="shared" si="22"/>
        <v>error</v>
      </c>
      <c r="AM34" t="str">
        <f t="shared" si="13"/>
        <v>error</v>
      </c>
      <c r="AN34" t="str">
        <f t="shared" si="22"/>
        <v>error</v>
      </c>
      <c r="AO34" t="str">
        <f t="shared" si="14"/>
        <v>error</v>
      </c>
      <c r="AP34" t="str">
        <f t="shared" si="22"/>
        <v>error</v>
      </c>
      <c r="AQ34" t="str">
        <f t="shared" si="15"/>
        <v>error</v>
      </c>
      <c r="AR34" t="str">
        <f t="shared" si="22"/>
        <v>error</v>
      </c>
      <c r="AS34" t="str">
        <f t="shared" si="16"/>
        <v>error</v>
      </c>
      <c r="AT34" t="str">
        <f>IF(M2="Totalmente de Acuerdo",-1,IF(M2="Muy de Acuerdo",-0.66,IF(M2="Levemente de Acuerdo",-0.33,IF(M2="Levemente en Desacuerdo",0.33,IF(M2="Muy en Desacuerdo",0.66,IF(M2="Totalmente en Desacuerdo",1,"error"))))))</f>
        <v>error</v>
      </c>
      <c r="AU34" t="str">
        <f t="shared" si="17"/>
        <v>error</v>
      </c>
      <c r="AV34" s="2" t="e">
        <f t="shared" si="18"/>
        <v>#VALUE!</v>
      </c>
    </row>
    <row r="35" spans="12:49" x14ac:dyDescent="0.25">
      <c r="M35" t="str">
        <f t="shared" si="1"/>
        <v>error</v>
      </c>
      <c r="AB35" s="2">
        <f>9/8</f>
        <v>1.125</v>
      </c>
      <c r="AC35" s="2">
        <f>+AB35*AB$35</f>
        <v>1.265625</v>
      </c>
      <c r="AE35" t="str">
        <f t="shared" si="9"/>
        <v>error</v>
      </c>
      <c r="AG35" t="str">
        <f t="shared" si="10"/>
        <v>error</v>
      </c>
      <c r="AI35" t="str">
        <f t="shared" si="11"/>
        <v>error</v>
      </c>
      <c r="AK35" t="str">
        <f t="shared" si="12"/>
        <v>error</v>
      </c>
      <c r="AM35" t="str">
        <f t="shared" si="13"/>
        <v>error</v>
      </c>
      <c r="AO35" t="str">
        <f t="shared" si="14"/>
        <v>error</v>
      </c>
      <c r="AQ35" t="str">
        <f t="shared" si="15"/>
        <v>error</v>
      </c>
      <c r="AS35" t="str">
        <f t="shared" si="16"/>
        <v>error</v>
      </c>
      <c r="AU35" t="str">
        <f t="shared" si="17"/>
        <v>error</v>
      </c>
      <c r="AV35" s="2" t="e">
        <f t="shared" si="18"/>
        <v>#VALUE!</v>
      </c>
    </row>
  </sheetData>
  <conditionalFormatting sqref="M32:X32 Z32:AU32">
    <cfRule type="cellIs" dxfId="6" priority="2" operator="lessThan">
      <formula>0</formula>
    </cfRule>
    <cfRule type="cellIs" dxfId="5" priority="3" operator="greaterThan">
      <formula>0</formula>
    </cfRule>
  </conditionalFormatting>
  <conditionalFormatting sqref="AV32">
    <cfRule type="cellIs" dxfId="4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regresion</vt:lpstr>
      <vt:lpstr>prediccones</vt:lpstr>
      <vt:lpstr>regresion3</vt:lpstr>
      <vt:lpstr>predicciones3</vt:lpstr>
      <vt:lpstr>dato</vt:lpstr>
      <vt:lpstr>dato2</vt:lpstr>
      <vt:lpstr>dato3</vt:lpstr>
      <vt:lpstr>dato4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2024-09-26T21:49:28Z</dcterms:created>
  <dcterms:modified xsi:type="dcterms:W3CDTF">2024-10-09T17:48:42Z</dcterms:modified>
</cp:coreProperties>
</file>
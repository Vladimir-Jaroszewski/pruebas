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Admin\Documents\GitHub\pruebas\eco pol\"/>
    </mc:Choice>
  </mc:AlternateContent>
  <xr:revisionPtr revIDLastSave="0" documentId="13_ncr:1_{CA819284-A5D3-469C-A670-07D61050C6E3}" xr6:coauthVersionLast="45" xr6:coauthVersionMax="45" xr10:uidLastSave="{00000000-0000-0000-0000-000000000000}"/>
  <bookViews>
    <workbookView xWindow="-120" yWindow="-120" windowWidth="20730" windowHeight="11160" activeTab="4" xr2:uid="{00000000-000D-0000-FFFF-FFFF00000000}"/>
  </bookViews>
  <sheets>
    <sheet name="1° Encuesta Filtrada" sheetId="1" r:id="rId1"/>
    <sheet name="ejes1" sheetId="4" r:id="rId2"/>
    <sheet name="2° Encuesta Filtrada" sheetId="2" r:id="rId3"/>
    <sheet name="ejes2" sheetId="3" r:id="rId4"/>
    <sheet name="ejes" sheetId="5" r:id="rId5"/>
  </sheets>
  <calcPr calcId="191029"/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" i="5"/>
  <c r="G26" i="5"/>
  <c r="F26" i="5"/>
  <c r="C26" i="5"/>
  <c r="B26" i="5"/>
  <c r="G25" i="5"/>
  <c r="F25" i="5"/>
  <c r="C25" i="5"/>
  <c r="B25" i="5"/>
  <c r="G24" i="5"/>
  <c r="F24" i="5"/>
  <c r="C24" i="5"/>
  <c r="B24" i="5"/>
  <c r="G23" i="5"/>
  <c r="F23" i="5"/>
  <c r="C23" i="5"/>
  <c r="B23" i="5"/>
  <c r="G22" i="5"/>
  <c r="F22" i="5"/>
  <c r="C22" i="5"/>
  <c r="B22" i="5"/>
  <c r="G21" i="5"/>
  <c r="F21" i="5"/>
  <c r="C21" i="5"/>
  <c r="B21" i="5"/>
  <c r="G20" i="5"/>
  <c r="F20" i="5"/>
  <c r="C20" i="5"/>
  <c r="B20" i="5"/>
  <c r="G19" i="5"/>
  <c r="F19" i="5"/>
  <c r="C19" i="5"/>
  <c r="B19" i="5"/>
  <c r="G18" i="5"/>
  <c r="F18" i="5"/>
  <c r="C18" i="5"/>
  <c r="B18" i="5"/>
  <c r="G17" i="5"/>
  <c r="F17" i="5"/>
  <c r="C17" i="5"/>
  <c r="B17" i="5"/>
  <c r="G16" i="5"/>
  <c r="F16" i="5"/>
  <c r="C16" i="5"/>
  <c r="B16" i="5"/>
  <c r="G15" i="5"/>
  <c r="F15" i="5"/>
  <c r="C15" i="5"/>
  <c r="B15" i="5"/>
  <c r="G14" i="5"/>
  <c r="F14" i="5"/>
  <c r="C14" i="5"/>
  <c r="B14" i="5"/>
  <c r="G13" i="5"/>
  <c r="F13" i="5"/>
  <c r="C13" i="5"/>
  <c r="B13" i="5"/>
  <c r="G12" i="5"/>
  <c r="F12" i="5"/>
  <c r="C12" i="5"/>
  <c r="B12" i="5"/>
  <c r="G11" i="5"/>
  <c r="F11" i="5"/>
  <c r="C11" i="5"/>
  <c r="B11" i="5"/>
  <c r="G10" i="5"/>
  <c r="F10" i="5"/>
  <c r="C10" i="5"/>
  <c r="B10" i="5"/>
  <c r="G9" i="5"/>
  <c r="F9" i="5"/>
  <c r="C9" i="5"/>
  <c r="B9" i="5"/>
  <c r="G8" i="5"/>
  <c r="F8" i="5"/>
  <c r="C8" i="5"/>
  <c r="B8" i="5"/>
  <c r="G7" i="5"/>
  <c r="F7" i="5"/>
  <c r="C7" i="5"/>
  <c r="B7" i="5"/>
  <c r="G6" i="5"/>
  <c r="F6" i="5"/>
  <c r="C6" i="5"/>
  <c r="B6" i="5"/>
  <c r="G5" i="5"/>
  <c r="F5" i="5"/>
  <c r="C5" i="5"/>
  <c r="B5" i="5"/>
  <c r="G4" i="5"/>
  <c r="F4" i="5"/>
  <c r="C4" i="5"/>
  <c r="B4" i="5"/>
  <c r="G3" i="5"/>
  <c r="F3" i="5"/>
  <c r="C3" i="5"/>
  <c r="B3" i="5"/>
  <c r="G2" i="5"/>
  <c r="F2" i="5"/>
  <c r="C2" i="5"/>
  <c r="B2" i="5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" i="3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" i="2"/>
  <c r="W29" i="2"/>
  <c r="W4" i="2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" i="4"/>
  <c r="AC27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3" i="1"/>
  <c r="AB29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3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3" i="1"/>
  <c r="AA4" i="1"/>
  <c r="AB4" i="1" s="1"/>
  <c r="AA5" i="1"/>
  <c r="AB5" i="1" s="1"/>
  <c r="AA6" i="1"/>
  <c r="AB6" i="1" s="1"/>
  <c r="AA7" i="1"/>
  <c r="AA8" i="1"/>
  <c r="AB8" i="1" s="1"/>
  <c r="AA9" i="1"/>
  <c r="AB9" i="1" s="1"/>
  <c r="AA10" i="1"/>
  <c r="AB10" i="1" s="1"/>
  <c r="AA11" i="1"/>
  <c r="AA12" i="1"/>
  <c r="AB12" i="1" s="1"/>
  <c r="AA13" i="1"/>
  <c r="AB13" i="1" s="1"/>
  <c r="AA14" i="1"/>
  <c r="AB14" i="1" s="1"/>
  <c r="AA15" i="1"/>
  <c r="AA16" i="1"/>
  <c r="AB16" i="1" s="1"/>
  <c r="AA17" i="1"/>
  <c r="AB17" i="1" s="1"/>
  <c r="AA18" i="1"/>
  <c r="AB18" i="1" s="1"/>
  <c r="AA19" i="1"/>
  <c r="AA20" i="1"/>
  <c r="AB20" i="1" s="1"/>
  <c r="AA21" i="1"/>
  <c r="AB21" i="1" s="1"/>
  <c r="AA22" i="1"/>
  <c r="AB22" i="1" s="1"/>
  <c r="AA23" i="1"/>
  <c r="AA24" i="1"/>
  <c r="AB24" i="1" s="1"/>
  <c r="AA25" i="1"/>
  <c r="AB25" i="1" s="1"/>
  <c r="AA26" i="1"/>
  <c r="AB26" i="1" s="1"/>
  <c r="AA27" i="1"/>
  <c r="AA3" i="1"/>
  <c r="AB3" i="1" s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3" i="1"/>
  <c r="U4" i="1"/>
  <c r="U5" i="1"/>
  <c r="U6" i="1"/>
  <c r="U7" i="1"/>
  <c r="AB7" i="1" s="1"/>
  <c r="U8" i="1"/>
  <c r="U9" i="1"/>
  <c r="U10" i="1"/>
  <c r="U11" i="1"/>
  <c r="AB11" i="1" s="1"/>
  <c r="U12" i="1"/>
  <c r="U13" i="1"/>
  <c r="U14" i="1"/>
  <c r="U15" i="1"/>
  <c r="AB15" i="1" s="1"/>
  <c r="U16" i="1"/>
  <c r="U17" i="1"/>
  <c r="U18" i="1"/>
  <c r="U19" i="1"/>
  <c r="AB19" i="1" s="1"/>
  <c r="U20" i="1"/>
  <c r="U21" i="1"/>
  <c r="U22" i="1"/>
  <c r="U23" i="1"/>
  <c r="AB23" i="1" s="1"/>
  <c r="U24" i="1"/>
  <c r="U25" i="1"/>
  <c r="U26" i="1"/>
  <c r="U27" i="1"/>
  <c r="AB27" i="1" s="1"/>
  <c r="U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3" i="1"/>
  <c r="AQ4" i="2" l="1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J4" i="2"/>
  <c r="AJ3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9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" i="2"/>
  <c r="Z24" i="2"/>
  <c r="Z4" i="2"/>
  <c r="Z3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5" i="2"/>
  <c r="Z26" i="2"/>
  <c r="Z27" i="2"/>
  <c r="Z28" i="2"/>
  <c r="Z29" i="2"/>
  <c r="AC28" i="2"/>
  <c r="AE28" i="2"/>
  <c r="AF28" i="2" s="1"/>
  <c r="AF3" i="2"/>
  <c r="AH3" i="2"/>
  <c r="AL3" i="2"/>
  <c r="AO28" i="2"/>
  <c r="AG29" i="2"/>
  <c r="AH29" i="2" s="1"/>
  <c r="AI29" i="2"/>
  <c r="AJ29" i="2" s="1"/>
  <c r="AK29" i="2"/>
  <c r="AM29" i="2"/>
  <c r="AN29" i="2" s="1"/>
  <c r="AN3" i="2"/>
  <c r="H28" i="2"/>
  <c r="H29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W25" i="2" s="1"/>
  <c r="V26" i="2"/>
  <c r="V27" i="2"/>
  <c r="V6" i="2"/>
  <c r="V4" i="2"/>
  <c r="V5" i="2"/>
  <c r="V3" i="2"/>
  <c r="W3" i="2" s="1"/>
  <c r="R28" i="2"/>
  <c r="T29" i="2"/>
  <c r="W9" i="2"/>
  <c r="W13" i="2"/>
  <c r="W17" i="2"/>
  <c r="W21" i="2"/>
  <c r="T4" i="2"/>
  <c r="T5" i="2"/>
  <c r="W5" i="2" s="1"/>
  <c r="T6" i="2"/>
  <c r="T7" i="2"/>
  <c r="W7" i="2" s="1"/>
  <c r="T8" i="2"/>
  <c r="W8" i="2" s="1"/>
  <c r="T9" i="2"/>
  <c r="T10" i="2"/>
  <c r="W10" i="2" s="1"/>
  <c r="T11" i="2"/>
  <c r="W11" i="2" s="1"/>
  <c r="T12" i="2"/>
  <c r="W12" i="2" s="1"/>
  <c r="T13" i="2"/>
  <c r="T14" i="2"/>
  <c r="W14" i="2" s="1"/>
  <c r="T15" i="2"/>
  <c r="W15" i="2" s="1"/>
  <c r="T16" i="2"/>
  <c r="W16" i="2" s="1"/>
  <c r="T17" i="2"/>
  <c r="T18" i="2"/>
  <c r="W18" i="2" s="1"/>
  <c r="T19" i="2"/>
  <c r="W19" i="2" s="1"/>
  <c r="T20" i="2"/>
  <c r="W20" i="2" s="1"/>
  <c r="T21" i="2"/>
  <c r="T22" i="2"/>
  <c r="W22" i="2" s="1"/>
  <c r="T23" i="2"/>
  <c r="W23" i="2" s="1"/>
  <c r="T24" i="2"/>
  <c r="W24" i="2" s="1"/>
  <c r="T25" i="2"/>
  <c r="T26" i="2"/>
  <c r="T27" i="2"/>
  <c r="W27" i="2" s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3" i="2"/>
  <c r="J28" i="2"/>
  <c r="L28" i="2"/>
  <c r="N3" i="2"/>
  <c r="P28" i="2"/>
  <c r="R3" i="2"/>
  <c r="S28" i="2"/>
  <c r="T28" i="2" s="1"/>
  <c r="T3" i="2"/>
  <c r="AP3" i="2"/>
  <c r="J3" i="2"/>
  <c r="L3" i="2"/>
  <c r="N29" i="2"/>
  <c r="P3" i="2"/>
  <c r="R29" i="2"/>
  <c r="S29" i="2"/>
  <c r="AQ29" i="2"/>
  <c r="W6" i="2" l="1"/>
  <c r="W26" i="2"/>
</calcChain>
</file>

<file path=xl/sharedStrings.xml><?xml version="1.0" encoding="utf-8"?>
<sst xmlns="http://schemas.openxmlformats.org/spreadsheetml/2006/main" count="1814" uniqueCount="163">
  <si>
    <t>Marca temporal</t>
  </si>
  <si>
    <t>Número de Trámite DNI</t>
  </si>
  <si>
    <t>Año de nacimiento</t>
  </si>
  <si>
    <t>Año de cursado. La mayoría de las materias obligatorias que cursaste en 2024 son de:</t>
  </si>
  <si>
    <t>¿Con qué identidad de género se identifica?</t>
  </si>
  <si>
    <t>¿Cuál fue el último nivel educativo alcanzado por su padre o tutor?</t>
  </si>
  <si>
    <t>¿Cuál fue el último nivel educativo alcanzado por su madre o tutora?</t>
  </si>
  <si>
    <t>Ubíquese en la pirámide en base a su ingreso total familiar aproximado</t>
  </si>
  <si>
    <t>¿De dónde provienen tus ingresos?</t>
  </si>
  <si>
    <t>¿Dónde vivías antes de venir a estudiar a Córdoba?</t>
  </si>
  <si>
    <t>Los países con Estados más “pequeños” (menor gasto público) son más exitosos y sus habitantes gozan de una mejor calidad de vida.</t>
  </si>
  <si>
    <t>Altos salarios para funcionarios estatales (en los 3 poderes) son beneficiosos por disminuir las posibilidades de que estos cometan actos de corrupción</t>
  </si>
  <si>
    <t>Los ricos deben pagar relativamente más impuestos que los pobres</t>
  </si>
  <si>
    <t>El país sólo puede crecer a largo plazo si reorienta sus políticas hacia una economía de mercado y libre comercio</t>
  </si>
  <si>
    <t>El gobierno siempre debe intervenir en el mercado cuando lo crea necesario</t>
  </si>
  <si>
    <t>Aquellos que puedan trabajar, y rechacen la oportunidad, no deberían esperar ayuda social</t>
  </si>
  <si>
    <t>El gasto público en planes y asistencia social debe reducirse a un mínimo y en su lugar debe gastarse el dinero público en planes de empleo e inversión</t>
  </si>
  <si>
    <t>La única responsabilidad social de una empresa debería ser proporcionar utilidades a sus accionistas</t>
  </si>
  <si>
    <t>Las medidas de restricción de la circulación y aislamiento obligatorio durante la pandemia fueron excesivas y un atropello a la libertad individual de los ciudadanos</t>
  </si>
  <si>
    <t>El movimiento feminista carece de sentido ya que actualmente mujeres y hombres se encuentran en pie de igualdad</t>
  </si>
  <si>
    <t>El aborto, cuando no esté amenazada la vida de la madre, siempre debería ser ilegal</t>
  </si>
  <si>
    <t>El cambio climático es una problemática alarmante y a la que todos los Estados deberían prestar atención</t>
  </si>
  <si>
    <t>Los contribuyentes deberían financiar con impuestos aquellos teatros o museos que no fuesen rentables por sí mismos</t>
  </si>
  <si>
    <t>En la justicia penal la rehabilitación debería ser más importante que el castigo</t>
  </si>
  <si>
    <t>Los extranjeros no deberían acceder a educación y salud gratuita</t>
  </si>
  <si>
    <t>El Estado debe intervenir en el mercado laboral para reducir la brecha salarial entre hombres y mujeres</t>
  </si>
  <si>
    <t>El Estado no debería obligar a vacunar a los niños</t>
  </si>
  <si>
    <t>El peronismo es el responsable de arruinar nuestro país en los últimos años</t>
  </si>
  <si>
    <t>La política tradicional es responsable de la crisis económica y social del país</t>
  </si>
  <si>
    <t>El FMI es partícipe del fracaso económico de los últimos años</t>
  </si>
  <si>
    <t>La falta de dólares es uno de los principales problemas de la argentina</t>
  </si>
  <si>
    <t>Se puede pagar el precio de cierto grado de corrupción, siempre que se solucionen los problemas del país</t>
  </si>
  <si>
    <t>Estoy dispuesto a sacrificar derechos políticos por más seguridad</t>
  </si>
  <si>
    <t>Estoy dispuesto a sacrificar derechos políticos por más bienestar económico</t>
  </si>
  <si>
    <t>Si me asegura 30 años de estabilidad económica y crecimiento, estoy dispuesto a sacrificar derechos políticos</t>
  </si>
  <si>
    <t>La vida en los barrios cerrados ("countries") es de mejor calidad que en barrios abiertos, incluso si estos son seguros</t>
  </si>
  <si>
    <t>Suponiendo un transporte público eficiente, de calidad y bajo costo, estaría dispuesto a disminuir el uso del automóvil particular</t>
  </si>
  <si>
    <t>La educación secundaria privada prepara mejor a los ciudadanos que la escuela pública</t>
  </si>
  <si>
    <t>¿Con cuáles de los siguientes términos se identifica? (Puede elegir más de uno) [De derecha]</t>
  </si>
  <si>
    <t>¿Con cuáles de los siguientes términos se identifica? (Puede elegir más de uno) [De izquierda]</t>
  </si>
  <si>
    <t>¿Con cuáles de los siguientes términos se identifica? (Puede elegir más de uno) [De centro]</t>
  </si>
  <si>
    <t>¿Con cuáles de los siguientes términos se identifica? (Puede elegir más de uno) [Progresista]</t>
  </si>
  <si>
    <t>¿Con cuáles de los siguientes términos se identifica? (Puede elegir más de uno) [Conservador]</t>
  </si>
  <si>
    <t>¿Con cuáles de los siguientes términos se identifica? (Puede elegir más de uno) [Liberal]</t>
  </si>
  <si>
    <t>¿Con cuáles de los siguientes términos se identifica? (Puede elegir más de uno) [Socialista]</t>
  </si>
  <si>
    <t>¿Con cuáles de los siguientes términos se identifica? (Puede elegir más de uno) [Del PRO]</t>
  </si>
  <si>
    <t>¿Con cuáles de los siguientes términos se identifica? (Puede elegir más de uno) [Peronista]</t>
  </si>
  <si>
    <t>¿Con cuáles de los siguientes términos se identifica? (Puede elegir más de uno) [Kirchnerista]</t>
  </si>
  <si>
    <t>¿Con cuáles de los siguientes términos se identifica? (Puede elegir más de uno) [Libertario]</t>
  </si>
  <si>
    <t>¿Con cuáles de los siguientes términos se identifica? (Puede elegir más de uno) [Radical]</t>
  </si>
  <si>
    <t>¿Con cuáles de los siguientes términos se identifica? (Puede elegir más de uno) [Macrista]</t>
  </si>
  <si>
    <t>¿Con cuáles de los siguientes términos se identifica? (Puede elegir más de uno) [Feminista]</t>
  </si>
  <si>
    <t>¿Con cuáles de los siguientes términos se identifica? (Puede elegir más de uno) [Ecologista]</t>
  </si>
  <si>
    <t>¿Con cuáles de los siguientes términos se identifica? (Puede elegir más de uno) [Anarquista]</t>
  </si>
  <si>
    <t>¿Cómo votó para Presidente en las elecciones PASO de agosto de 2023?</t>
  </si>
  <si>
    <t>¿Cómo votó para Presidente en las elecciones generales de octubre de 2023?</t>
  </si>
  <si>
    <t>¿Cómo votó para Presidente en el ballotage de noviembre de 2023?</t>
  </si>
  <si>
    <t>¿Cuál es tu sexo registrado al nacer?</t>
  </si>
  <si>
    <t>00157138797</t>
  </si>
  <si>
    <t>Quinto año</t>
  </si>
  <si>
    <t>Varón</t>
  </si>
  <si>
    <t>Universitario completo</t>
  </si>
  <si>
    <t>Clase Media Baja (C3): entre $850.001 mensuales y $1.350.000 mensuales</t>
  </si>
  <si>
    <t>Trabajo propio</t>
  </si>
  <si>
    <t>Ciudad de Córdoba</t>
  </si>
  <si>
    <t>Levemente en Desacuerdo</t>
  </si>
  <si>
    <t>Muy de Acuerdo</t>
  </si>
  <si>
    <t>Levemente de Acuerdo</t>
  </si>
  <si>
    <t>Totalmente en Desacuerdo</t>
  </si>
  <si>
    <t>Muy en Desacuerdo</t>
  </si>
  <si>
    <t>Totalmente de Acuerdo</t>
  </si>
  <si>
    <t>Me identifico</t>
  </si>
  <si>
    <t>Sergio Massa (Unión por la Patria)</t>
  </si>
  <si>
    <t>00164890275</t>
  </si>
  <si>
    <t>Universitario incompleto</t>
  </si>
  <si>
    <t>Clase Alta (ABC1): más de $2.850.000 mensuales</t>
  </si>
  <si>
    <t>Familia</t>
  </si>
  <si>
    <t>Otra localidad en otra Provincia</t>
  </si>
  <si>
    <t>Horacio Rodríguez Larreta (Juntos por el Cambio)</t>
  </si>
  <si>
    <t>00284397411</t>
  </si>
  <si>
    <t>Cuarto año</t>
  </si>
  <si>
    <t>Otra</t>
  </si>
  <si>
    <t>Posgrado completo</t>
  </si>
  <si>
    <t>Clase Media Alta (C2): entre $1.350.001 mensuales y $2.850.000 mensuales</t>
  </si>
  <si>
    <t>00305830361</t>
  </si>
  <si>
    <t>Mujer</t>
  </si>
  <si>
    <t>Juan Schiaretti (Hacemos por Nuestro País)</t>
  </si>
  <si>
    <t>En blanco</t>
  </si>
  <si>
    <t>00338374873</t>
  </si>
  <si>
    <t>Otra localidad en la Provincia de Córdoba</t>
  </si>
  <si>
    <t>No vote</t>
  </si>
  <si>
    <t>Javier Milei (La Libertad Avanza)</t>
  </si>
  <si>
    <t>003420609968086</t>
  </si>
  <si>
    <t>Secundario completo</t>
  </si>
  <si>
    <t>Terciario completo</t>
  </si>
  <si>
    <t>Beca|Pasantia|Familia</t>
  </si>
  <si>
    <t>No asistí</t>
  </si>
  <si>
    <t>00344474148</t>
  </si>
  <si>
    <t>Tercer año</t>
  </si>
  <si>
    <t>Levemente en Acuerdo</t>
  </si>
  <si>
    <t>004551455698171</t>
  </si>
  <si>
    <t>Secundario incompleto</t>
  </si>
  <si>
    <t xml:space="preserve">No vote </t>
  </si>
  <si>
    <t>00506717796</t>
  </si>
  <si>
    <t>Patricia Bullrich (Juntos por el Cambio)</t>
  </si>
  <si>
    <t>00513759005</t>
  </si>
  <si>
    <t>00516733809</t>
  </si>
  <si>
    <t>00531671249</t>
  </si>
  <si>
    <t>00544287188</t>
  </si>
  <si>
    <t>NS/NC</t>
  </si>
  <si>
    <t>Clase Baja Superior (D1): entre $773.501 y $850.000 mensuales</t>
  </si>
  <si>
    <t>00546419857</t>
  </si>
  <si>
    <t>00576235027</t>
  </si>
  <si>
    <t>00578280042</t>
  </si>
  <si>
    <t>00608003883</t>
  </si>
  <si>
    <t>00623233790</t>
  </si>
  <si>
    <t>00661842297</t>
  </si>
  <si>
    <t>00680175484</t>
  </si>
  <si>
    <t>Primario completo</t>
  </si>
  <si>
    <t>00686589580</t>
  </si>
  <si>
    <t>006934766847656</t>
  </si>
  <si>
    <t>Juan Grabois (Unión por la Patria)</t>
  </si>
  <si>
    <t>00704722792</t>
  </si>
  <si>
    <t>00712484148</t>
  </si>
  <si>
    <t>00713342916</t>
  </si>
  <si>
    <t>No voté</t>
  </si>
  <si>
    <t>Privatizar Aerolíneas Argentinas, el Banco Nación y ARSAT</t>
  </si>
  <si>
    <t>Ley para que jueces y magistrados paguen Impuesto a las Ganancias</t>
  </si>
  <si>
    <t>Una reforma impositiva que reduzca el IVA e implemente un impuesto a la riqueza</t>
  </si>
  <si>
    <t>Eliminar totalmente retenciones a las exportaciones y aranceles a la importación</t>
  </si>
  <si>
    <t>La política de Etiquetado Frontal (octógonos) en el mercado alimentario</t>
  </si>
  <si>
    <t>Renovar condicionalmente el cobro del Plan Potenciar Trabajo sujeto a evidencia de búsqueda activa de empleo</t>
  </si>
  <si>
    <t>Debe eliminarse la Tarjeta Alimentar y utilizar esos fondos para reducir cargas sociales a las PYMES</t>
  </si>
  <si>
    <t>Sancionar una Ley de Responsabilidad Social Empresaria con foco en cambio climático y programas de desarrollo comunitario.</t>
  </si>
  <si>
    <t>El gobierno debe limitar los viajes a Brasil en enero de 2025 para evitar la introducción de Zika y Chikungunya en Argentina</t>
  </si>
  <si>
    <t>La Ley de Paridad de Género en Ámbitos de Representación Política</t>
  </si>
  <si>
    <t>El Estado debe garantizar que exista al menos un médico que no sea objetor de conciencia en cada hospital público</t>
  </si>
  <si>
    <t>Implementar en Argentina regulaciones de contaminación, como cupos de emisiones de dióxido de carbono</t>
  </si>
  <si>
    <t>Disolver el Instituto Nacional de Cine y Artes Audiovisuales (INCAA)</t>
  </si>
  <si>
    <t>Reducir la edad de imputabilidad a los 14 años de edad</t>
  </si>
  <si>
    <t>Arancelar las universidades a extranjeros</t>
  </si>
  <si>
    <t>La Federación Internacional de Tennis debería equiparar los salarios de tenistas profesionales hombres y mujeres</t>
  </si>
  <si>
    <t>El Estado debe incluir la vacuna del Covid en el Calendario Obligatorio de Vacunación</t>
  </si>
  <si>
    <t>.</t>
  </si>
  <si>
    <t>Suma eje econ</t>
  </si>
  <si>
    <t>eje economico</t>
  </si>
  <si>
    <t>eje social</t>
  </si>
  <si>
    <t>suma eje social</t>
  </si>
  <si>
    <t>puntos</t>
  </si>
  <si>
    <t>PUNTOS</t>
  </si>
  <si>
    <t>eje econ2</t>
  </si>
  <si>
    <t>eje social2</t>
  </si>
  <si>
    <t>,</t>
  </si>
  <si>
    <t>Eje economico</t>
  </si>
  <si>
    <t>Eje social</t>
  </si>
  <si>
    <t>Suma eje economico</t>
  </si>
  <si>
    <t>Eje Econ reescalado</t>
  </si>
  <si>
    <t>puntaje</t>
  </si>
  <si>
    <t>eje econ1</t>
  </si>
  <si>
    <t>eje social1</t>
  </si>
  <si>
    <t>eje econ reescalado</t>
  </si>
  <si>
    <t>generales</t>
  </si>
  <si>
    <t>ballotage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</si>
</sst>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quotePrefix="1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0" fillId="3" borderId="0" xfId="0" applyFont="1" applyFill="1" applyAlignment="1">
      <alignment horizontal="center"/>
    </xf>
    <xf numFmtId="0" fontId="0" fillId="0" borderId="0" xfId="0"/>
    <xf numFmtId="0" fontId="0" fillId="3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2" fillId="0" borderId="0" xfId="0" applyFont="1" applyAlignmen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A29"/>
  <sheetViews>
    <sheetView topLeftCell="BV1" zoomScale="90" zoomScaleNormal="90" workbookViewId="0">
      <pane ySplit="2" topLeftCell="A3" activePane="bottomLeft" state="frozen"/>
      <selection pane="bottomLeft" activeCell="BZ2" sqref="BZ2"/>
    </sheetView>
  </sheetViews>
  <sheetFormatPr baseColWidth="10" defaultColWidth="12.5703125" defaultRowHeight="15.75" customHeight="1" x14ac:dyDescent="0.2"/>
  <cols>
    <col min="1" max="1" width="18.85546875" customWidth="1"/>
    <col min="2" max="2" width="22.42578125" customWidth="1"/>
    <col min="3" max="3" width="19" customWidth="1"/>
    <col min="4" max="4" width="37.5703125" customWidth="1"/>
    <col min="5" max="5" width="27.42578125" customWidth="1"/>
    <col min="6" max="8" width="37.5703125" customWidth="1"/>
    <col min="9" max="9" width="30.42578125" customWidth="1"/>
    <col min="10" max="10" width="37.5703125" customWidth="1"/>
    <col min="11" max="11" width="10.42578125" customWidth="1"/>
    <col min="12" max="12" width="37.5703125" customWidth="1"/>
    <col min="13" max="13" width="7.5703125" bestFit="1" customWidth="1"/>
    <col min="14" max="14" width="37.5703125" customWidth="1"/>
    <col min="15" max="15" width="7.5703125" bestFit="1" customWidth="1"/>
    <col min="16" max="16" width="37.5703125" customWidth="1"/>
    <col min="17" max="17" width="7.5703125" bestFit="1" customWidth="1"/>
    <col min="18" max="18" width="37.5703125" customWidth="1"/>
    <col min="19" max="19" width="7.5703125" bestFit="1" customWidth="1"/>
    <col min="20" max="20" width="37.5703125" customWidth="1"/>
    <col min="21" max="21" width="7.5703125" bestFit="1" customWidth="1"/>
    <col min="22" max="22" width="37.5703125" customWidth="1"/>
    <col min="23" max="23" width="7.5703125" bestFit="1" customWidth="1"/>
    <col min="24" max="24" width="37.5703125" customWidth="1"/>
    <col min="25" max="25" width="7.5703125" bestFit="1" customWidth="1"/>
    <col min="26" max="26" width="37.5703125" customWidth="1"/>
    <col min="27" max="27" width="7.5703125" bestFit="1" customWidth="1"/>
    <col min="28" max="28" width="18.5703125" bestFit="1" customWidth="1"/>
    <col min="29" max="29" width="18.28515625" bestFit="1" customWidth="1"/>
    <col min="30" max="31" width="18.28515625" customWidth="1"/>
    <col min="32" max="32" width="37.5703125" customWidth="1"/>
    <col min="33" max="33" width="7.5703125" bestFit="1" customWidth="1"/>
    <col min="34" max="34" width="37.5703125" customWidth="1"/>
    <col min="35" max="35" width="7.5703125" bestFit="1" customWidth="1"/>
    <col min="36" max="36" width="37.5703125" customWidth="1"/>
    <col min="37" max="37" width="7.5703125" bestFit="1" customWidth="1"/>
    <col min="38" max="38" width="37.5703125" customWidth="1"/>
    <col min="39" max="39" width="7.5703125" bestFit="1" customWidth="1"/>
    <col min="40" max="40" width="37.5703125" customWidth="1"/>
    <col min="41" max="41" width="7.5703125" bestFit="1" customWidth="1"/>
    <col min="42" max="42" width="37.5703125" customWidth="1"/>
    <col min="43" max="43" width="7.5703125" bestFit="1" customWidth="1"/>
    <col min="44" max="44" width="37.5703125" customWidth="1"/>
    <col min="45" max="45" width="7.5703125" bestFit="1" customWidth="1"/>
    <col min="46" max="46" width="57.5703125" customWidth="1"/>
    <col min="47" max="47" width="7.5703125" bestFit="1" customWidth="1"/>
    <col min="48" max="48" width="57.5703125" customWidth="1"/>
    <col min="49" max="78" width="37.5703125" customWidth="1"/>
    <col min="79" max="85" width="18.85546875" customWidth="1"/>
  </cols>
  <sheetData>
    <row r="1" spans="1:79" ht="15.75" customHeight="1" x14ac:dyDescent="0.2">
      <c r="L1" s="13" t="s">
        <v>153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4" t="s">
        <v>154</v>
      </c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</row>
    <row r="2" spans="1:79" x14ac:dyDescent="0.2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7" t="s">
        <v>152</v>
      </c>
      <c r="L2" s="1" t="s">
        <v>25</v>
      </c>
      <c r="M2" s="6" t="s">
        <v>157</v>
      </c>
      <c r="N2" s="1" t="s">
        <v>10</v>
      </c>
      <c r="O2" s="6" t="s">
        <v>157</v>
      </c>
      <c r="P2" s="1" t="s">
        <v>12</v>
      </c>
      <c r="Q2" s="6" t="s">
        <v>157</v>
      </c>
      <c r="R2" s="1" t="s">
        <v>13</v>
      </c>
      <c r="S2" s="6" t="s">
        <v>157</v>
      </c>
      <c r="T2" s="1" t="s">
        <v>14</v>
      </c>
      <c r="U2" s="6" t="s">
        <v>157</v>
      </c>
      <c r="V2" s="1" t="s">
        <v>15</v>
      </c>
      <c r="W2" s="6" t="s">
        <v>157</v>
      </c>
      <c r="X2" s="1" t="s">
        <v>16</v>
      </c>
      <c r="Y2" s="6" t="s">
        <v>157</v>
      </c>
      <c r="Z2" s="1" t="s">
        <v>17</v>
      </c>
      <c r="AA2" s="6" t="s">
        <v>157</v>
      </c>
      <c r="AB2" s="6" t="s">
        <v>155</v>
      </c>
      <c r="AC2" s="6" t="s">
        <v>156</v>
      </c>
      <c r="AD2" s="1" t="s">
        <v>11</v>
      </c>
      <c r="AE2" s="6" t="s">
        <v>157</v>
      </c>
      <c r="AF2" s="1" t="s">
        <v>18</v>
      </c>
      <c r="AG2" s="6" t="s">
        <v>157</v>
      </c>
      <c r="AH2" s="1" t="s">
        <v>19</v>
      </c>
      <c r="AI2" s="6" t="s">
        <v>157</v>
      </c>
      <c r="AJ2" s="1" t="s">
        <v>20</v>
      </c>
      <c r="AK2" s="6" t="s">
        <v>157</v>
      </c>
      <c r="AL2" s="1" t="s">
        <v>21</v>
      </c>
      <c r="AM2" s="6" t="s">
        <v>157</v>
      </c>
      <c r="AN2" s="1" t="s">
        <v>22</v>
      </c>
      <c r="AO2" s="6" t="s">
        <v>157</v>
      </c>
      <c r="AP2" s="1" t="s">
        <v>23</v>
      </c>
      <c r="AQ2" s="6" t="s">
        <v>157</v>
      </c>
      <c r="AR2" s="1" t="s">
        <v>24</v>
      </c>
      <c r="AS2" s="6" t="s">
        <v>157</v>
      </c>
      <c r="AT2" s="1" t="s">
        <v>26</v>
      </c>
      <c r="AU2" s="6" t="s">
        <v>157</v>
      </c>
      <c r="AV2" s="6" t="s">
        <v>154</v>
      </c>
      <c r="AW2" s="1" t="s">
        <v>27</v>
      </c>
      <c r="AX2" s="1" t="s">
        <v>28</v>
      </c>
      <c r="AY2" s="1" t="s">
        <v>29</v>
      </c>
      <c r="AZ2" s="1" t="s">
        <v>30</v>
      </c>
      <c r="BA2" s="1" t="s">
        <v>31</v>
      </c>
      <c r="BB2" s="1" t="s">
        <v>32</v>
      </c>
      <c r="BC2" s="1" t="s">
        <v>33</v>
      </c>
      <c r="BD2" s="1" t="s">
        <v>34</v>
      </c>
      <c r="BE2" s="1" t="s">
        <v>35</v>
      </c>
      <c r="BF2" s="1" t="s">
        <v>36</v>
      </c>
      <c r="BG2" s="1" t="s">
        <v>37</v>
      </c>
      <c r="BH2" s="1" t="s">
        <v>38</v>
      </c>
      <c r="BI2" s="1" t="s">
        <v>39</v>
      </c>
      <c r="BJ2" s="1" t="s">
        <v>40</v>
      </c>
      <c r="BK2" s="1" t="s">
        <v>41</v>
      </c>
      <c r="BL2" s="1" t="s">
        <v>42</v>
      </c>
      <c r="BM2" s="1" t="s">
        <v>43</v>
      </c>
      <c r="BN2" s="1" t="s">
        <v>44</v>
      </c>
      <c r="BO2" s="1" t="s">
        <v>45</v>
      </c>
      <c r="BP2" s="1" t="s">
        <v>46</v>
      </c>
      <c r="BQ2" s="1" t="s">
        <v>47</v>
      </c>
      <c r="BR2" s="1" t="s">
        <v>48</v>
      </c>
      <c r="BS2" s="1" t="s">
        <v>49</v>
      </c>
      <c r="BT2" s="1" t="s">
        <v>50</v>
      </c>
      <c r="BU2" s="1" t="s">
        <v>51</v>
      </c>
      <c r="BV2" s="1" t="s">
        <v>52</v>
      </c>
      <c r="BW2" s="1" t="s">
        <v>53</v>
      </c>
      <c r="BX2" s="1" t="s">
        <v>54</v>
      </c>
      <c r="BY2" s="1" t="s">
        <v>55</v>
      </c>
      <c r="BZ2" s="1" t="s">
        <v>56</v>
      </c>
      <c r="CA2" s="3" t="s">
        <v>57</v>
      </c>
    </row>
    <row r="3" spans="1:79" x14ac:dyDescent="0.2">
      <c r="A3" s="4">
        <v>45553.853533576388</v>
      </c>
      <c r="B3" s="5" t="s">
        <v>58</v>
      </c>
      <c r="C3" s="6">
        <v>1997</v>
      </c>
      <c r="D3" s="6" t="s">
        <v>59</v>
      </c>
      <c r="E3" s="6" t="s">
        <v>60</v>
      </c>
      <c r="F3" s="6" t="s">
        <v>61</v>
      </c>
      <c r="G3" s="6" t="s">
        <v>61</v>
      </c>
      <c r="H3" s="6" t="s">
        <v>62</v>
      </c>
      <c r="I3" s="6" t="s">
        <v>63</v>
      </c>
      <c r="J3" s="6" t="s">
        <v>64</v>
      </c>
      <c r="K3" s="7" t="s">
        <v>152</v>
      </c>
      <c r="L3" s="6" t="s">
        <v>67</v>
      </c>
      <c r="M3" s="6">
        <f>IF(L3="Totalmente de Acuerdo",-1,IF(L3="Muy de Acuerdo",-0.66,IF(L3="Levemente de Acuerdo",-0.33,IF(L3="Levemente en Desacuerdo",0.33,IF(L3="Muy en Desacuerdo",0.66,IF(L3="Totalmente en Desacuerdo",1,"error"))))))</f>
        <v>-0.33</v>
      </c>
      <c r="N3" s="6" t="s">
        <v>65</v>
      </c>
      <c r="O3" s="6">
        <f>IF(N3="Totalmente de Acuerdo",1,IF(N3="Muy de Acuerdo",0.66,IF(N3="Levemente de Acuerdo",0.33,IF(N3="Levemente en Desacuerdo",-0.33,IF(N3="Muy en Desacuerdo",-0.66,IF(N3="Totalmente en Desacuerdo",-1,"error"))))))</f>
        <v>-0.33</v>
      </c>
      <c r="P3" s="6" t="s">
        <v>66</v>
      </c>
      <c r="Q3" s="6">
        <f>IF(P3="Totalmente de Acuerdo",-1,IF(P3="Muy de Acuerdo",-0.66,IF(P3="Levemente de Acuerdo",-0.33,IF(P3="Levemente en Desacuerdo",0.33,IF(P3="Muy en Desacuerdo",0.66,IF(P3="Totalmente en Desacuerdo",1,"error"))))))</f>
        <v>-0.66</v>
      </c>
      <c r="R3" s="6" t="s">
        <v>66</v>
      </c>
      <c r="S3" s="6">
        <f>IF(R3="Totalmente de Acuerdo",1,IF(R3="Muy de Acuerdo",0.66,IF(R3="Levemente de Acuerdo",0.33,IF(R3="Levemente en Desacuerdo",-0.33,IF(R3="Muy en Desacuerdo",-0.66,IF(R3="Totalmente en Desacuerdo",-1,"error"))))))</f>
        <v>0.66</v>
      </c>
      <c r="T3" s="6" t="s">
        <v>67</v>
      </c>
      <c r="U3" s="6">
        <f>IF(T3="Totalmente de Acuerdo",-1,IF(T3="Muy de Acuerdo",-0.66,IF(T3="Levemente de Acuerdo",-0.33,IF(T3="Levemente en Desacuerdo",0.33,IF(T3="Muy en Desacuerdo",0.66,IF(T3="Totalmente en Desacuerdo",1,"error"))))))</f>
        <v>-0.33</v>
      </c>
      <c r="V3" s="6" t="s">
        <v>65</v>
      </c>
      <c r="W3" s="6">
        <f>IF(V3="Totalmente de Acuerdo",1,IF(V3="Muy de Acuerdo",0.66,IF(V3="Levemente de Acuerdo",0.33,IF(V3="Levemente en Desacuerdo",-0.33,IF(V3="Muy en Desacuerdo",-0.66,IF(V3="Totalmente en Desacuerdo",-1,"error"))))))</f>
        <v>-0.33</v>
      </c>
      <c r="X3" s="6" t="s">
        <v>65</v>
      </c>
      <c r="Y3" s="6">
        <f>IF(X3="Totalmente de Acuerdo",1,IF(X3="Muy de Acuerdo",0.66,IF(X3="Levemente de Acuerdo",0.33,IF(X3="Levemente en Desacuerdo",-0.33,IF(X3="Muy en Desacuerdo",-0.66,IF(X3="Totalmente en Desacuerdo",-1,"error"))))))</f>
        <v>-0.33</v>
      </c>
      <c r="Z3" s="6" t="s">
        <v>65</v>
      </c>
      <c r="AA3" s="6">
        <f>IF(Z3="Totalmente de Acuerdo",1,IF(Z3="Muy de Acuerdo",0.66,IF(Z3="Levemente en Acuerdo",0.33,IF(Z3="Levemente en Desacuerdo",-0.33,IF(Z3="Muy en Desacuerdo",-0.66,IF(Z3="Totalmente en Desacuerdo",-1,"error"))))))</f>
        <v>-0.33</v>
      </c>
      <c r="AB3" s="6">
        <f>+AA3+Y3+W3+U3+S3+Q3+O3+M3</f>
        <v>-1.9800000000000002</v>
      </c>
      <c r="AC3" s="6">
        <f>+AB3*AB$29</f>
        <v>-2.2275</v>
      </c>
      <c r="AD3" s="6" t="s">
        <v>66</v>
      </c>
      <c r="AE3" s="6">
        <f>IF(AD3="Totalmente de Acuerdo",1,IF(AD3="Muy de Acuerdo",0.66,IF(AD3="Levemente de Acuerdo",0.33,IF(AD3="Levemente en Desacuerdo",-0.33,IF(AD3="Muy en Desacuerdo",-0.66,IF(AD3="Totalmente en Desacuerdo",-1,"error"))))))</f>
        <v>0.66</v>
      </c>
      <c r="AF3" s="6" t="s">
        <v>65</v>
      </c>
      <c r="AG3" s="6">
        <f>IF(AF3="Totalmente de Acuerdo",-1,IF(AF3="Muy de Acuerdo",-0.66,IF(AF3="Levemente de Acuerdo",-0.33,IF(AF3="Levemente en Desacuerdo",0.33,IF(AF3="Muy en Desacuerdo",0.66,IF(AF3="Totalmente en Desacuerdo",1,"error"))))))</f>
        <v>0.33</v>
      </c>
      <c r="AH3" s="6" t="s">
        <v>68</v>
      </c>
      <c r="AI3" s="6">
        <f>IF(AH3="Totalmente de Acuerdo",1,IF(AH3="Muy de Acuerdo",0.66,IF(AH3="Levemente de Acuerdo",0.33,IF(AH3="Levemente en Desacuerdo",-0.33,IF(AH3="Muy en Desacuerdo",-0.66,IF(AH3="Totalmente en Desacuerdo",-1,"error"))))))</f>
        <v>-1</v>
      </c>
      <c r="AJ3" s="6" t="s">
        <v>68</v>
      </c>
      <c r="AK3" s="6">
        <f>IF(AJ3="Totalmente de Acuerdo",1,IF(AJ3="Muy de Acuerdo",0.66,IF(AJ3="Levemente de Acuerdo",0.33,IF(AJ3="Levemente en Desacuerdo",-0.33,IF(AJ3="Muy en Desacuerdo",-0.66,IF(AJ3="Totalmente en Desacuerdo",-1,"error"))))))</f>
        <v>-1</v>
      </c>
      <c r="AL3" s="6" t="s">
        <v>69</v>
      </c>
      <c r="AM3" s="6">
        <f>IF(AL3="Totalmente de Acuerdo",-1,IF(AL3="Muy de Acuerdo",-0.66,IF(AL3="Levemente de Acuerdo",-0.33,IF(AL3="Levemente en Desacuerdo",0.33,IF(AL3="Muy en Desacuerdo",0.66,IF(AL3="Totalmente en Desacuerdo",1,"error"))))))</f>
        <v>0.66</v>
      </c>
      <c r="AN3" s="6" t="s">
        <v>67</v>
      </c>
      <c r="AO3" s="6">
        <f>IF(AN3="Totalmente de Acuerdo",-1,IF(AN3="Muy de Acuerdo",-0.66,IF(AN3="Levemente de Acuerdo",-0.33,IF(AN3="Levemente en Desacuerdo",0.33,IF(AN3="Muy en Desacuerdo",0.66,IF(AN3="Totalmente en Desacuerdo",1,"error"))))))</f>
        <v>-0.33</v>
      </c>
      <c r="AP3" s="6" t="s">
        <v>65</v>
      </c>
      <c r="AQ3" s="6">
        <f>IF(AP3="Totalmente de Acuerdo",-1,IF(AP3="Muy de Acuerdo",-0.66,IF(AP3="Levemente de Acuerdo",-0.33,IF(AP3="Levemente en Desacuerdo",0.33,IF(AP3="Muy en Desacuerdo",0.66,IF(AP3="Totalmente en Desacuerdo",1,"error"))))))</f>
        <v>0.33</v>
      </c>
      <c r="AR3" s="6" t="s">
        <v>65</v>
      </c>
      <c r="AS3" s="6">
        <f>IF(AR3="Totalmente de Acuerdo",1,IF(AR3="Muy de Acuerdo",0.66,IF(AR3="Levemente de Acuerdo",0.33,IF(AR3="Levemente en Desacuerdo",-0.33,IF(AR3="Muy en Desacuerdo",-0.66,IF(AR3="Totalmente en Desacuerdo",-1,"error"))))))</f>
        <v>-0.33</v>
      </c>
      <c r="AT3" s="6" t="s">
        <v>68</v>
      </c>
      <c r="AU3" s="6">
        <f>IF(AT3="Totalmente de Acuerdo",-1,IF(AT3="Muy de Acuerdo",-0.66,IF(AT3="Levemente de Acuerdo",-0.33,IF(AT3="Levemente en Desacuerdo",0.33,IF(AT3="Muy en Desacuerdo",0.66,IF(AT3="Totalmente en Desacuerdo",1,"error"))))))</f>
        <v>1</v>
      </c>
      <c r="AV3" s="6">
        <f>+AU3+AS3+AQ3+AO3+AM3+AK3+AI3+AG3+AE3</f>
        <v>0.32000000000000012</v>
      </c>
      <c r="AW3" s="6" t="s">
        <v>68</v>
      </c>
      <c r="AX3" s="6" t="s">
        <v>67</v>
      </c>
      <c r="AY3" s="6" t="s">
        <v>67</v>
      </c>
      <c r="AZ3" s="6" t="s">
        <v>67</v>
      </c>
      <c r="BA3" s="6" t="s">
        <v>70</v>
      </c>
      <c r="BB3" s="6" t="s">
        <v>68</v>
      </c>
      <c r="BC3" s="6" t="s">
        <v>69</v>
      </c>
      <c r="BD3" s="6" t="s">
        <v>65</v>
      </c>
      <c r="BE3" s="6" t="s">
        <v>68</v>
      </c>
      <c r="BF3" s="6" t="s">
        <v>67</v>
      </c>
      <c r="BG3" s="6" t="s">
        <v>70</v>
      </c>
      <c r="BM3" s="6" t="s">
        <v>71</v>
      </c>
      <c r="BP3" s="6" t="s">
        <v>71</v>
      </c>
      <c r="BX3" s="6" t="s">
        <v>72</v>
      </c>
      <c r="BY3" s="6" t="s">
        <v>72</v>
      </c>
      <c r="BZ3" s="6" t="s">
        <v>72</v>
      </c>
    </row>
    <row r="4" spans="1:79" x14ac:dyDescent="0.2">
      <c r="A4" s="4">
        <v>45547.897613912035</v>
      </c>
      <c r="B4" s="5" t="s">
        <v>73</v>
      </c>
      <c r="C4" s="6">
        <v>1998</v>
      </c>
      <c r="D4" s="6" t="s">
        <v>59</v>
      </c>
      <c r="E4" s="6" t="s">
        <v>60</v>
      </c>
      <c r="F4" s="6" t="s">
        <v>61</v>
      </c>
      <c r="G4" s="6" t="s">
        <v>74</v>
      </c>
      <c r="H4" s="6" t="s">
        <v>75</v>
      </c>
      <c r="I4" s="6" t="s">
        <v>76</v>
      </c>
      <c r="J4" s="6" t="s">
        <v>77</v>
      </c>
      <c r="K4" s="7" t="s">
        <v>152</v>
      </c>
      <c r="L4" s="6" t="s">
        <v>67</v>
      </c>
      <c r="M4" s="6">
        <f t="shared" ref="M4:M27" si="0">IF(L4="Totalmente de Acuerdo",-1,IF(L4="Muy de Acuerdo",-0.66,IF(L4="Levemente de Acuerdo",-0.33,IF(L4="Levemente en Desacuerdo",0.33,IF(L4="Muy en Desacuerdo",0.66,IF(L4="Totalmente en Desacuerdo",1,"error"))))))</f>
        <v>-0.33</v>
      </c>
      <c r="N4" s="6" t="s">
        <v>69</v>
      </c>
      <c r="O4" s="6">
        <f t="shared" ref="O4:O27" si="1">IF(N4="Totalmente de Acuerdo",1,IF(N4="Muy de Acuerdo",0.66,IF(N4="Levemente de Acuerdo",0.33,IF(N4="Levemente en Desacuerdo",-0.33,IF(N4="Muy en Desacuerdo",-0.66,IF(N4="Totalmente en Desacuerdo",-1,"error"))))))</f>
        <v>-0.66</v>
      </c>
      <c r="P4" s="6" t="s">
        <v>70</v>
      </c>
      <c r="Q4" s="6">
        <f t="shared" ref="Q4:Q27" si="2">IF(P4="Totalmente de Acuerdo",-1,IF(P4="Muy de Acuerdo",-0.66,IF(P4="Levemente de Acuerdo",-0.33,IF(P4="Levemente en Desacuerdo",0.33,IF(P4="Muy en Desacuerdo",0.66,IF(P4="Totalmente en Desacuerdo",1,"error"))))))</f>
        <v>-1</v>
      </c>
      <c r="R4" s="6" t="s">
        <v>67</v>
      </c>
      <c r="S4" s="6">
        <f t="shared" ref="S4:S27" si="3">IF(R4="Totalmente de Acuerdo",1,IF(R4="Muy de Acuerdo",0.66,IF(R4="Levemente de Acuerdo",0.33,IF(R4="Levemente en Desacuerdo",-0.33,IF(R4="Muy en Desacuerdo",-0.66,IF(R4="Totalmente en Desacuerdo",-1,"error"))))))</f>
        <v>0.33</v>
      </c>
      <c r="T4" s="6" t="s">
        <v>65</v>
      </c>
      <c r="U4" s="6">
        <f t="shared" ref="U4:U27" si="4">IF(T4="Totalmente de Acuerdo",-1,IF(T4="Muy de Acuerdo",-0.66,IF(T4="Levemente de Acuerdo",-0.33,IF(T4="Levemente en Desacuerdo",0.33,IF(T4="Muy en Desacuerdo",0.66,IF(T4="Totalmente en Desacuerdo",1,"error"))))))</f>
        <v>0.33</v>
      </c>
      <c r="V4" s="6" t="s">
        <v>65</v>
      </c>
      <c r="W4" s="6">
        <f t="shared" ref="W4:W27" si="5">IF(V4="Totalmente de Acuerdo",1,IF(V4="Muy de Acuerdo",0.66,IF(V4="Levemente de Acuerdo",0.33,IF(V4="Levemente en Desacuerdo",-0.33,IF(V4="Muy en Desacuerdo",-0.66,IF(V4="Totalmente en Desacuerdo",-1,"error"))))))</f>
        <v>-0.33</v>
      </c>
      <c r="X4" s="6" t="s">
        <v>65</v>
      </c>
      <c r="Y4" s="6">
        <f t="shared" ref="Y4:Y27" si="6">IF(X4="Totalmente de Acuerdo",1,IF(X4="Muy de Acuerdo",0.66,IF(X4="Levemente de Acuerdo",0.33,IF(X4="Levemente en Desacuerdo",-0.33,IF(X4="Muy en Desacuerdo",-0.66,IF(X4="Totalmente en Desacuerdo",-1,"error"))))))</f>
        <v>-0.33</v>
      </c>
      <c r="Z4" s="6" t="s">
        <v>69</v>
      </c>
      <c r="AA4" s="6">
        <f t="shared" ref="AA4:AA27" si="7">IF(Z4="Totalmente de Acuerdo",1,IF(Z4="Muy de Acuerdo",0.66,IF(Z4="Levemente en Acuerdo",0.33,IF(Z4="Levemente en Desacuerdo",-0.33,IF(Z4="Muy en Desacuerdo",-0.66,IF(Z4="Totalmente en Desacuerdo",-1,"error"))))))</f>
        <v>-0.66</v>
      </c>
      <c r="AB4" s="6">
        <f t="shared" ref="AB4:AB27" si="8">+AA4+Y4+W4+U4+S4+Q4+O4+M4</f>
        <v>-2.65</v>
      </c>
      <c r="AC4" s="6">
        <f t="shared" ref="AC4:AC27" si="9">+AB4*AB$29</f>
        <v>-2.9812499999999997</v>
      </c>
      <c r="AD4" s="6" t="s">
        <v>67</v>
      </c>
      <c r="AE4" s="6">
        <f t="shared" ref="AE4:AE27" si="10">IF(AD4="Totalmente de Acuerdo",1,IF(AD4="Muy de Acuerdo",0.66,IF(AD4="Levemente de Acuerdo",0.33,IF(AD4="Levemente en Desacuerdo",-0.33,IF(AD4="Muy en Desacuerdo",-0.66,IF(AD4="Totalmente en Desacuerdo",-1,"error"))))))</f>
        <v>0.33</v>
      </c>
      <c r="AF4" s="6" t="s">
        <v>67</v>
      </c>
      <c r="AG4" s="6">
        <f t="shared" ref="AG4:AG27" si="11">IF(AF4="Totalmente de Acuerdo",-1,IF(AF4="Muy de Acuerdo",-0.66,IF(AF4="Levemente de Acuerdo",-0.33,IF(AF4="Levemente en Desacuerdo",0.33,IF(AF4="Muy en Desacuerdo",0.66,IF(AF4="Totalmente en Desacuerdo",1,"error"))))))</f>
        <v>-0.33</v>
      </c>
      <c r="AH4" s="6" t="s">
        <v>68</v>
      </c>
      <c r="AI4" s="6">
        <f t="shared" ref="AI4:AI27" si="12">IF(AH4="Totalmente de Acuerdo",1,IF(AH4="Muy de Acuerdo",0.66,IF(AH4="Levemente de Acuerdo",0.33,IF(AH4="Levemente en Desacuerdo",-0.33,IF(AH4="Muy en Desacuerdo",-0.66,IF(AH4="Totalmente en Desacuerdo",-1,"error"))))))</f>
        <v>-1</v>
      </c>
      <c r="AJ4" s="6" t="s">
        <v>68</v>
      </c>
      <c r="AK4" s="6">
        <f t="shared" ref="AK4:AK27" si="13">IF(AJ4="Totalmente de Acuerdo",1,IF(AJ4="Muy de Acuerdo",0.66,IF(AJ4="Levemente de Acuerdo",0.33,IF(AJ4="Levemente en Desacuerdo",-0.33,IF(AJ4="Muy en Desacuerdo",-0.66,IF(AJ4="Totalmente en Desacuerdo",-1,"error"))))))</f>
        <v>-1</v>
      </c>
      <c r="AL4" s="6" t="s">
        <v>66</v>
      </c>
      <c r="AM4" s="6">
        <f t="shared" ref="AM4:AM27" si="14">IF(AL4="Totalmente de Acuerdo",-1,IF(AL4="Muy de Acuerdo",-0.66,IF(AL4="Levemente de Acuerdo",-0.33,IF(AL4="Levemente en Desacuerdo",0.33,IF(AL4="Muy en Desacuerdo",0.66,IF(AL4="Totalmente en Desacuerdo",1,"error"))))))</f>
        <v>-0.66</v>
      </c>
      <c r="AN4" s="6" t="s">
        <v>66</v>
      </c>
      <c r="AO4" s="6">
        <f t="shared" ref="AO4:AO27" si="15">IF(AN4="Totalmente de Acuerdo",-1,IF(AN4="Muy de Acuerdo",-0.66,IF(AN4="Levemente de Acuerdo",-0.33,IF(AN4="Levemente en Desacuerdo",0.33,IF(AN4="Muy en Desacuerdo",0.66,IF(AN4="Totalmente en Desacuerdo",1,"error"))))))</f>
        <v>-0.66</v>
      </c>
      <c r="AP4" s="6" t="s">
        <v>66</v>
      </c>
      <c r="AQ4" s="6">
        <f t="shared" ref="AQ4:AQ27" si="16">IF(AP4="Totalmente de Acuerdo",-1,IF(AP4="Muy de Acuerdo",-0.66,IF(AP4="Levemente de Acuerdo",-0.33,IF(AP4="Levemente en Desacuerdo",0.33,IF(AP4="Muy en Desacuerdo",0.66,IF(AP4="Totalmente en Desacuerdo",1,"error"))))))</f>
        <v>-0.66</v>
      </c>
      <c r="AR4" s="6" t="s">
        <v>68</v>
      </c>
      <c r="AS4" s="6">
        <f t="shared" ref="AS4:AS27" si="17">IF(AR4="Totalmente de Acuerdo",1,IF(AR4="Muy de Acuerdo",0.66,IF(AR4="Levemente de Acuerdo",0.33,IF(AR4="Levemente en Desacuerdo",-0.33,IF(AR4="Muy en Desacuerdo",-0.66,IF(AR4="Totalmente en Desacuerdo",-1,"error"))))))</f>
        <v>-1</v>
      </c>
      <c r="AT4" s="6" t="s">
        <v>68</v>
      </c>
      <c r="AU4" s="6">
        <f t="shared" ref="AU4:AU27" si="18">IF(AT4="Totalmente de Acuerdo",-1,IF(AT4="Muy de Acuerdo",-0.66,IF(AT4="Levemente de Acuerdo",-0.33,IF(AT4="Levemente en Desacuerdo",0.33,IF(AT4="Muy en Desacuerdo",0.66,IF(AT4="Totalmente en Desacuerdo",1,"error"))))))</f>
        <v>1</v>
      </c>
      <c r="AV4" s="6">
        <f t="shared" ref="AV4:AV27" si="19">+AU4+AS4+AQ4+AO4+AM4+AK4+AI4+AG4+AE4</f>
        <v>-3.9799999999999995</v>
      </c>
      <c r="AW4" s="6" t="s">
        <v>68</v>
      </c>
      <c r="AX4" s="6" t="s">
        <v>67</v>
      </c>
      <c r="AY4" s="6" t="s">
        <v>67</v>
      </c>
      <c r="AZ4" s="6" t="s">
        <v>67</v>
      </c>
      <c r="BA4" s="6" t="s">
        <v>65</v>
      </c>
      <c r="BB4" s="6" t="s">
        <v>69</v>
      </c>
      <c r="BC4" s="6" t="s">
        <v>69</v>
      </c>
      <c r="BD4" s="6" t="s">
        <v>65</v>
      </c>
      <c r="BE4" s="6" t="s">
        <v>65</v>
      </c>
      <c r="BF4" s="6" t="s">
        <v>66</v>
      </c>
      <c r="BG4" s="6" t="s">
        <v>67</v>
      </c>
      <c r="BJ4" s="6" t="s">
        <v>71</v>
      </c>
      <c r="BK4" s="6" t="s">
        <v>71</v>
      </c>
      <c r="BX4" s="6" t="s">
        <v>78</v>
      </c>
      <c r="BY4" s="6" t="s">
        <v>72</v>
      </c>
      <c r="BZ4" s="6" t="s">
        <v>72</v>
      </c>
    </row>
    <row r="5" spans="1:79" x14ac:dyDescent="0.2">
      <c r="A5" s="4">
        <v>45560.55297287037</v>
      </c>
      <c r="B5" s="5" t="s">
        <v>79</v>
      </c>
      <c r="C5" s="6">
        <v>1999</v>
      </c>
      <c r="D5" s="6" t="s">
        <v>80</v>
      </c>
      <c r="E5" s="6" t="s">
        <v>81</v>
      </c>
      <c r="F5" s="6" t="s">
        <v>61</v>
      </c>
      <c r="G5" s="6" t="s">
        <v>82</v>
      </c>
      <c r="H5" s="6" t="s">
        <v>83</v>
      </c>
      <c r="I5" s="6" t="s">
        <v>63</v>
      </c>
      <c r="J5" s="6" t="s">
        <v>77</v>
      </c>
      <c r="K5" s="7" t="s">
        <v>152</v>
      </c>
      <c r="L5" s="6" t="s">
        <v>66</v>
      </c>
      <c r="M5" s="6">
        <f t="shared" si="0"/>
        <v>-0.66</v>
      </c>
      <c r="N5" s="6" t="s">
        <v>69</v>
      </c>
      <c r="O5" s="6">
        <f t="shared" si="1"/>
        <v>-0.66</v>
      </c>
      <c r="P5" s="6" t="s">
        <v>70</v>
      </c>
      <c r="Q5" s="6">
        <f t="shared" si="2"/>
        <v>-1</v>
      </c>
      <c r="R5" s="6" t="s">
        <v>68</v>
      </c>
      <c r="S5" s="6">
        <f t="shared" si="3"/>
        <v>-1</v>
      </c>
      <c r="T5" s="6" t="s">
        <v>66</v>
      </c>
      <c r="U5" s="6">
        <f t="shared" si="4"/>
        <v>-0.66</v>
      </c>
      <c r="V5" s="6" t="s">
        <v>67</v>
      </c>
      <c r="W5" s="6">
        <f t="shared" si="5"/>
        <v>0.33</v>
      </c>
      <c r="X5" s="6" t="s">
        <v>65</v>
      </c>
      <c r="Y5" s="6">
        <f t="shared" si="6"/>
        <v>-0.33</v>
      </c>
      <c r="Z5" s="6" t="s">
        <v>68</v>
      </c>
      <c r="AA5" s="6">
        <f t="shared" si="7"/>
        <v>-1</v>
      </c>
      <c r="AB5" s="6">
        <f t="shared" si="8"/>
        <v>-4.9800000000000004</v>
      </c>
      <c r="AC5" s="6">
        <f t="shared" si="9"/>
        <v>-5.6025000000000009</v>
      </c>
      <c r="AD5" s="6" t="s">
        <v>69</v>
      </c>
      <c r="AE5" s="6">
        <f t="shared" si="10"/>
        <v>-0.66</v>
      </c>
      <c r="AF5" s="6" t="s">
        <v>69</v>
      </c>
      <c r="AG5" s="6">
        <f t="shared" si="11"/>
        <v>0.66</v>
      </c>
      <c r="AH5" s="6" t="s">
        <v>68</v>
      </c>
      <c r="AI5" s="6">
        <f t="shared" si="12"/>
        <v>-1</v>
      </c>
      <c r="AJ5" s="6" t="s">
        <v>68</v>
      </c>
      <c r="AK5" s="6">
        <f t="shared" si="13"/>
        <v>-1</v>
      </c>
      <c r="AL5" s="6" t="s">
        <v>70</v>
      </c>
      <c r="AM5" s="6">
        <f t="shared" si="14"/>
        <v>-1</v>
      </c>
      <c r="AN5" s="6" t="s">
        <v>67</v>
      </c>
      <c r="AO5" s="6">
        <f t="shared" si="15"/>
        <v>-0.33</v>
      </c>
      <c r="AP5" s="6" t="s">
        <v>66</v>
      </c>
      <c r="AQ5" s="6">
        <f t="shared" si="16"/>
        <v>-0.66</v>
      </c>
      <c r="AR5" s="6" t="s">
        <v>68</v>
      </c>
      <c r="AS5" s="6">
        <f t="shared" si="17"/>
        <v>-1</v>
      </c>
      <c r="AT5" s="6" t="s">
        <v>65</v>
      </c>
      <c r="AU5" s="6">
        <f t="shared" si="18"/>
        <v>0.33</v>
      </c>
      <c r="AV5" s="6">
        <f t="shared" si="19"/>
        <v>-4.66</v>
      </c>
      <c r="AW5" s="6" t="s">
        <v>68</v>
      </c>
      <c r="AX5" s="6" t="s">
        <v>65</v>
      </c>
      <c r="AY5" s="6" t="s">
        <v>66</v>
      </c>
      <c r="AZ5" s="6" t="s">
        <v>67</v>
      </c>
      <c r="BA5" s="6" t="s">
        <v>69</v>
      </c>
      <c r="BB5" s="6" t="s">
        <v>68</v>
      </c>
      <c r="BC5" s="6" t="s">
        <v>68</v>
      </c>
      <c r="BD5" s="6" t="s">
        <v>68</v>
      </c>
      <c r="BE5" s="6" t="s">
        <v>68</v>
      </c>
      <c r="BF5" s="6" t="s">
        <v>66</v>
      </c>
      <c r="BG5" s="6" t="s">
        <v>68</v>
      </c>
      <c r="BP5" s="6" t="s">
        <v>71</v>
      </c>
      <c r="BQ5" s="6" t="s">
        <v>71</v>
      </c>
      <c r="BU5" s="6" t="s">
        <v>71</v>
      </c>
      <c r="BX5" s="6" t="s">
        <v>72</v>
      </c>
      <c r="BY5" s="6" t="s">
        <v>72</v>
      </c>
      <c r="BZ5" s="6" t="s">
        <v>72</v>
      </c>
    </row>
    <row r="6" spans="1:79" x14ac:dyDescent="0.2">
      <c r="A6" s="4">
        <v>45547.900090775467</v>
      </c>
      <c r="B6" s="5" t="s">
        <v>84</v>
      </c>
      <c r="C6" s="6">
        <v>2000</v>
      </c>
      <c r="D6" s="6" t="s">
        <v>80</v>
      </c>
      <c r="E6" s="6" t="s">
        <v>85</v>
      </c>
      <c r="F6" s="6" t="s">
        <v>61</v>
      </c>
      <c r="G6" s="6" t="s">
        <v>82</v>
      </c>
      <c r="H6" s="6" t="s">
        <v>83</v>
      </c>
      <c r="I6" s="6" t="s">
        <v>63</v>
      </c>
      <c r="J6" s="6" t="s">
        <v>64</v>
      </c>
      <c r="K6" s="7" t="s">
        <v>152</v>
      </c>
      <c r="L6" s="6" t="s">
        <v>66</v>
      </c>
      <c r="M6" s="6">
        <f t="shared" si="0"/>
        <v>-0.66</v>
      </c>
      <c r="N6" s="6" t="s">
        <v>65</v>
      </c>
      <c r="O6" s="6">
        <f t="shared" si="1"/>
        <v>-0.33</v>
      </c>
      <c r="P6" s="6" t="s">
        <v>66</v>
      </c>
      <c r="Q6" s="6">
        <f t="shared" si="2"/>
        <v>-0.66</v>
      </c>
      <c r="R6" s="6" t="s">
        <v>66</v>
      </c>
      <c r="S6" s="6">
        <f t="shared" si="3"/>
        <v>0.66</v>
      </c>
      <c r="T6" s="6" t="s">
        <v>69</v>
      </c>
      <c r="U6" s="6">
        <f t="shared" si="4"/>
        <v>0.66</v>
      </c>
      <c r="V6" s="6" t="s">
        <v>66</v>
      </c>
      <c r="W6" s="6">
        <f t="shared" si="5"/>
        <v>0.66</v>
      </c>
      <c r="X6" s="6" t="s">
        <v>65</v>
      </c>
      <c r="Y6" s="6">
        <f t="shared" si="6"/>
        <v>-0.33</v>
      </c>
      <c r="Z6" s="6" t="s">
        <v>69</v>
      </c>
      <c r="AA6" s="6">
        <f t="shared" si="7"/>
        <v>-0.66</v>
      </c>
      <c r="AB6" s="6">
        <f t="shared" si="8"/>
        <v>-0.65999999999999992</v>
      </c>
      <c r="AC6" s="6">
        <f t="shared" si="9"/>
        <v>-0.74249999999999994</v>
      </c>
      <c r="AD6" s="6" t="s">
        <v>69</v>
      </c>
      <c r="AE6" s="6">
        <f t="shared" si="10"/>
        <v>-0.66</v>
      </c>
      <c r="AF6" s="6" t="s">
        <v>66</v>
      </c>
      <c r="AG6" s="6">
        <f t="shared" si="11"/>
        <v>-0.66</v>
      </c>
      <c r="AH6" s="6" t="s">
        <v>65</v>
      </c>
      <c r="AI6" s="6">
        <f t="shared" si="12"/>
        <v>-0.33</v>
      </c>
      <c r="AJ6" s="6" t="s">
        <v>67</v>
      </c>
      <c r="AK6" s="6">
        <f t="shared" si="13"/>
        <v>0.33</v>
      </c>
      <c r="AL6" s="6" t="s">
        <v>70</v>
      </c>
      <c r="AM6" s="6">
        <f t="shared" si="14"/>
        <v>-1</v>
      </c>
      <c r="AN6" s="6" t="s">
        <v>67</v>
      </c>
      <c r="AO6" s="6">
        <f t="shared" si="15"/>
        <v>-0.33</v>
      </c>
      <c r="AP6" s="6" t="s">
        <v>66</v>
      </c>
      <c r="AQ6" s="6">
        <f t="shared" si="16"/>
        <v>-0.66</v>
      </c>
      <c r="AR6" s="6" t="s">
        <v>70</v>
      </c>
      <c r="AS6" s="6">
        <f t="shared" si="17"/>
        <v>1</v>
      </c>
      <c r="AT6" s="6" t="s">
        <v>69</v>
      </c>
      <c r="AU6" s="6">
        <f t="shared" si="18"/>
        <v>0.66</v>
      </c>
      <c r="AV6" s="6">
        <f t="shared" si="19"/>
        <v>-1.6500000000000001</v>
      </c>
      <c r="AW6" s="6" t="s">
        <v>67</v>
      </c>
      <c r="AX6" s="6" t="s">
        <v>65</v>
      </c>
      <c r="AY6" s="6" t="s">
        <v>65</v>
      </c>
      <c r="AZ6" s="6" t="s">
        <v>66</v>
      </c>
      <c r="BA6" s="6" t="s">
        <v>66</v>
      </c>
      <c r="BB6" s="6" t="s">
        <v>67</v>
      </c>
      <c r="BC6" s="6" t="s">
        <v>67</v>
      </c>
      <c r="BD6" s="6" t="s">
        <v>66</v>
      </c>
      <c r="BE6" s="6" t="s">
        <v>69</v>
      </c>
      <c r="BF6" s="6" t="s">
        <v>70</v>
      </c>
      <c r="BG6" s="6" t="s">
        <v>66</v>
      </c>
      <c r="BJ6" s="6" t="s">
        <v>71</v>
      </c>
      <c r="BV6" s="6" t="s">
        <v>71</v>
      </c>
      <c r="BX6" s="6" t="s">
        <v>86</v>
      </c>
      <c r="BY6" s="6" t="s">
        <v>86</v>
      </c>
      <c r="BZ6" s="6" t="s">
        <v>87</v>
      </c>
    </row>
    <row r="7" spans="1:79" x14ac:dyDescent="0.2">
      <c r="A7" s="4">
        <v>45547.900220509255</v>
      </c>
      <c r="B7" s="5" t="s">
        <v>88</v>
      </c>
      <c r="C7" s="6">
        <v>2000</v>
      </c>
      <c r="D7" s="6" t="s">
        <v>59</v>
      </c>
      <c r="E7" s="6" t="s">
        <v>85</v>
      </c>
      <c r="F7" s="6" t="s">
        <v>82</v>
      </c>
      <c r="G7" s="6" t="s">
        <v>82</v>
      </c>
      <c r="H7" s="6" t="s">
        <v>75</v>
      </c>
      <c r="I7" s="6" t="s">
        <v>76</v>
      </c>
      <c r="J7" s="6" t="s">
        <v>89</v>
      </c>
      <c r="K7" s="7" t="s">
        <v>152</v>
      </c>
      <c r="L7" s="6" t="s">
        <v>67</v>
      </c>
      <c r="M7" s="6">
        <f t="shared" si="0"/>
        <v>-0.33</v>
      </c>
      <c r="N7" s="6" t="s">
        <v>65</v>
      </c>
      <c r="O7" s="6">
        <f t="shared" si="1"/>
        <v>-0.33</v>
      </c>
      <c r="P7" s="6" t="s">
        <v>66</v>
      </c>
      <c r="Q7" s="6">
        <f t="shared" si="2"/>
        <v>-0.66</v>
      </c>
      <c r="R7" s="6" t="s">
        <v>67</v>
      </c>
      <c r="S7" s="6">
        <f t="shared" si="3"/>
        <v>0.33</v>
      </c>
      <c r="T7" s="6" t="s">
        <v>67</v>
      </c>
      <c r="U7" s="6">
        <f t="shared" si="4"/>
        <v>-0.33</v>
      </c>
      <c r="V7" s="6" t="s">
        <v>66</v>
      </c>
      <c r="W7" s="6">
        <f t="shared" si="5"/>
        <v>0.66</v>
      </c>
      <c r="X7" s="6" t="s">
        <v>65</v>
      </c>
      <c r="Y7" s="6">
        <f t="shared" si="6"/>
        <v>-0.33</v>
      </c>
      <c r="Z7" s="6" t="s">
        <v>65</v>
      </c>
      <c r="AA7" s="6">
        <f t="shared" si="7"/>
        <v>-0.33</v>
      </c>
      <c r="AB7" s="6">
        <f t="shared" si="8"/>
        <v>-1.32</v>
      </c>
      <c r="AC7" s="6">
        <f t="shared" si="9"/>
        <v>-1.4850000000000001</v>
      </c>
      <c r="AD7" s="6" t="s">
        <v>67</v>
      </c>
      <c r="AE7" s="6">
        <f t="shared" si="10"/>
        <v>0.33</v>
      </c>
      <c r="AF7" s="6" t="s">
        <v>66</v>
      </c>
      <c r="AG7" s="6">
        <f t="shared" si="11"/>
        <v>-0.66</v>
      </c>
      <c r="AH7" s="6" t="s">
        <v>68</v>
      </c>
      <c r="AI7" s="6">
        <f t="shared" si="12"/>
        <v>-1</v>
      </c>
      <c r="AJ7" s="6" t="s">
        <v>68</v>
      </c>
      <c r="AK7" s="6">
        <f t="shared" si="13"/>
        <v>-1</v>
      </c>
      <c r="AL7" s="6" t="s">
        <v>67</v>
      </c>
      <c r="AM7" s="6">
        <f t="shared" si="14"/>
        <v>-0.33</v>
      </c>
      <c r="AN7" s="6" t="s">
        <v>65</v>
      </c>
      <c r="AO7" s="6">
        <f t="shared" si="15"/>
        <v>0.33</v>
      </c>
      <c r="AP7" s="6" t="s">
        <v>67</v>
      </c>
      <c r="AQ7" s="6">
        <f t="shared" si="16"/>
        <v>-0.33</v>
      </c>
      <c r="AR7" s="6" t="s">
        <v>66</v>
      </c>
      <c r="AS7" s="6">
        <f t="shared" si="17"/>
        <v>0.66</v>
      </c>
      <c r="AT7" s="6" t="s">
        <v>69</v>
      </c>
      <c r="AU7" s="6">
        <f t="shared" si="18"/>
        <v>0.66</v>
      </c>
      <c r="AV7" s="6">
        <f t="shared" si="19"/>
        <v>-1.3399999999999999</v>
      </c>
      <c r="AW7" s="6" t="s">
        <v>67</v>
      </c>
      <c r="AX7" s="6" t="s">
        <v>67</v>
      </c>
      <c r="AY7" s="6" t="s">
        <v>69</v>
      </c>
      <c r="AZ7" s="6" t="s">
        <v>65</v>
      </c>
      <c r="BA7" s="6" t="s">
        <v>66</v>
      </c>
      <c r="BB7" s="6" t="s">
        <v>65</v>
      </c>
      <c r="BC7" s="6" t="s">
        <v>65</v>
      </c>
      <c r="BD7" s="6" t="s">
        <v>67</v>
      </c>
      <c r="BE7" s="6" t="s">
        <v>69</v>
      </c>
      <c r="BF7" s="6" t="s">
        <v>66</v>
      </c>
      <c r="BG7" s="6" t="s">
        <v>66</v>
      </c>
      <c r="BJ7" s="6" t="s">
        <v>71</v>
      </c>
      <c r="BK7" s="6" t="s">
        <v>71</v>
      </c>
      <c r="BU7" s="6" t="s">
        <v>71</v>
      </c>
      <c r="BX7" s="6" t="s">
        <v>90</v>
      </c>
      <c r="BY7" s="6" t="s">
        <v>91</v>
      </c>
      <c r="BZ7" s="6" t="s">
        <v>91</v>
      </c>
    </row>
    <row r="8" spans="1:79" x14ac:dyDescent="0.2">
      <c r="A8" s="4">
        <v>45553.880205821755</v>
      </c>
      <c r="B8" s="5" t="s">
        <v>92</v>
      </c>
      <c r="C8" s="6">
        <v>2000</v>
      </c>
      <c r="D8" s="6" t="s">
        <v>59</v>
      </c>
      <c r="E8" s="6" t="s">
        <v>60</v>
      </c>
      <c r="F8" s="6" t="s">
        <v>93</v>
      </c>
      <c r="G8" s="6" t="s">
        <v>94</v>
      </c>
      <c r="H8" s="6" t="s">
        <v>62</v>
      </c>
      <c r="I8" s="6" t="s">
        <v>95</v>
      </c>
      <c r="J8" s="6" t="s">
        <v>89</v>
      </c>
      <c r="K8" s="7" t="s">
        <v>152</v>
      </c>
      <c r="L8" s="6" t="s">
        <v>66</v>
      </c>
      <c r="M8" s="6">
        <f t="shared" si="0"/>
        <v>-0.66</v>
      </c>
      <c r="N8" s="6" t="s">
        <v>65</v>
      </c>
      <c r="O8" s="6">
        <f t="shared" si="1"/>
        <v>-0.33</v>
      </c>
      <c r="P8" s="6" t="s">
        <v>66</v>
      </c>
      <c r="Q8" s="6">
        <f t="shared" si="2"/>
        <v>-0.66</v>
      </c>
      <c r="R8" s="6" t="s">
        <v>67</v>
      </c>
      <c r="S8" s="6">
        <f t="shared" si="3"/>
        <v>0.33</v>
      </c>
      <c r="T8" s="6" t="s">
        <v>66</v>
      </c>
      <c r="U8" s="6">
        <f t="shared" si="4"/>
        <v>-0.66</v>
      </c>
      <c r="V8" s="6" t="s">
        <v>66</v>
      </c>
      <c r="W8" s="6">
        <f t="shared" si="5"/>
        <v>0.66</v>
      </c>
      <c r="X8" s="6" t="s">
        <v>65</v>
      </c>
      <c r="Y8" s="6">
        <f t="shared" si="6"/>
        <v>-0.33</v>
      </c>
      <c r="Z8" s="6" t="s">
        <v>69</v>
      </c>
      <c r="AA8" s="6">
        <f t="shared" si="7"/>
        <v>-0.66</v>
      </c>
      <c r="AB8" s="6">
        <f t="shared" si="8"/>
        <v>-2.31</v>
      </c>
      <c r="AC8" s="6">
        <f t="shared" si="9"/>
        <v>-2.5987499999999999</v>
      </c>
      <c r="AD8" s="6" t="s">
        <v>65</v>
      </c>
      <c r="AE8" s="6">
        <f t="shared" si="10"/>
        <v>-0.33</v>
      </c>
      <c r="AF8" s="6" t="s">
        <v>66</v>
      </c>
      <c r="AG8" s="6">
        <f t="shared" si="11"/>
        <v>-0.66</v>
      </c>
      <c r="AH8" s="6" t="s">
        <v>69</v>
      </c>
      <c r="AI8" s="6">
        <f t="shared" si="12"/>
        <v>-0.66</v>
      </c>
      <c r="AJ8" s="6" t="s">
        <v>69</v>
      </c>
      <c r="AK8" s="6">
        <f t="shared" si="13"/>
        <v>-0.66</v>
      </c>
      <c r="AL8" s="6" t="s">
        <v>70</v>
      </c>
      <c r="AM8" s="6">
        <f t="shared" si="14"/>
        <v>-1</v>
      </c>
      <c r="AN8" s="6" t="s">
        <v>69</v>
      </c>
      <c r="AO8" s="6">
        <f t="shared" si="15"/>
        <v>0.66</v>
      </c>
      <c r="AP8" s="6" t="s">
        <v>66</v>
      </c>
      <c r="AQ8" s="6">
        <f t="shared" si="16"/>
        <v>-0.66</v>
      </c>
      <c r="AR8" s="6" t="s">
        <v>66</v>
      </c>
      <c r="AS8" s="6">
        <f t="shared" si="17"/>
        <v>0.66</v>
      </c>
      <c r="AT8" s="6" t="s">
        <v>69</v>
      </c>
      <c r="AU8" s="6">
        <f t="shared" si="18"/>
        <v>0.66</v>
      </c>
      <c r="AV8" s="6">
        <f t="shared" si="19"/>
        <v>-1.9900000000000002</v>
      </c>
      <c r="AW8" s="6" t="s">
        <v>66</v>
      </c>
      <c r="AX8" s="6" t="s">
        <v>66</v>
      </c>
      <c r="AY8" s="6" t="s">
        <v>69</v>
      </c>
      <c r="AZ8" s="6" t="s">
        <v>65</v>
      </c>
      <c r="BA8" s="6" t="s">
        <v>65</v>
      </c>
      <c r="BB8" s="6" t="s">
        <v>65</v>
      </c>
      <c r="BC8" s="6" t="s">
        <v>65</v>
      </c>
      <c r="BD8" s="6" t="s">
        <v>65</v>
      </c>
      <c r="BE8" s="6" t="s">
        <v>66</v>
      </c>
      <c r="BF8" s="6" t="s">
        <v>66</v>
      </c>
      <c r="BG8" s="6" t="s">
        <v>66</v>
      </c>
      <c r="BH8" s="6" t="s">
        <v>71</v>
      </c>
      <c r="BI8" s="6" t="s">
        <v>71</v>
      </c>
      <c r="BJ8" s="6" t="s">
        <v>71</v>
      </c>
      <c r="BK8" s="6" t="s">
        <v>71</v>
      </c>
      <c r="BL8" s="6" t="s">
        <v>71</v>
      </c>
      <c r="BM8" s="6" t="s">
        <v>71</v>
      </c>
      <c r="BN8" s="6" t="s">
        <v>71</v>
      </c>
      <c r="BO8" s="6" t="s">
        <v>71</v>
      </c>
      <c r="BP8" s="6" t="s">
        <v>71</v>
      </c>
      <c r="BQ8" s="6" t="s">
        <v>71</v>
      </c>
      <c r="BR8" s="6" t="s">
        <v>71</v>
      </c>
      <c r="BS8" s="6" t="s">
        <v>71</v>
      </c>
      <c r="BT8" s="6" t="s">
        <v>71</v>
      </c>
      <c r="BU8" s="6" t="s">
        <v>71</v>
      </c>
      <c r="BV8" s="6" t="s">
        <v>71</v>
      </c>
      <c r="BW8" s="6" t="s">
        <v>71</v>
      </c>
      <c r="BX8" s="6" t="s">
        <v>96</v>
      </c>
      <c r="BY8" s="6" t="s">
        <v>87</v>
      </c>
      <c r="BZ8" s="6" t="s">
        <v>87</v>
      </c>
    </row>
    <row r="9" spans="1:79" x14ac:dyDescent="0.2">
      <c r="A9" s="4">
        <v>45547.903456527776</v>
      </c>
      <c r="B9" s="5" t="s">
        <v>97</v>
      </c>
      <c r="C9" s="6">
        <v>1999</v>
      </c>
      <c r="D9" s="6" t="s">
        <v>98</v>
      </c>
      <c r="E9" s="6" t="s">
        <v>60</v>
      </c>
      <c r="F9" s="6" t="s">
        <v>94</v>
      </c>
      <c r="G9" s="6" t="s">
        <v>94</v>
      </c>
      <c r="H9" s="6" t="s">
        <v>83</v>
      </c>
      <c r="I9" s="6" t="s">
        <v>63</v>
      </c>
      <c r="J9" s="6" t="s">
        <v>89</v>
      </c>
      <c r="K9" s="7" t="s">
        <v>152</v>
      </c>
      <c r="L9" s="6" t="s">
        <v>69</v>
      </c>
      <c r="M9" s="6">
        <f t="shared" si="0"/>
        <v>0.66</v>
      </c>
      <c r="N9" s="6" t="s">
        <v>67</v>
      </c>
      <c r="O9" s="6">
        <f t="shared" si="1"/>
        <v>0.33</v>
      </c>
      <c r="P9" s="6" t="s">
        <v>65</v>
      </c>
      <c r="Q9" s="6">
        <f t="shared" si="2"/>
        <v>0.33</v>
      </c>
      <c r="R9" s="6" t="s">
        <v>66</v>
      </c>
      <c r="S9" s="6">
        <f t="shared" si="3"/>
        <v>0.66</v>
      </c>
      <c r="T9" s="6" t="s">
        <v>67</v>
      </c>
      <c r="U9" s="6">
        <f t="shared" si="4"/>
        <v>-0.33</v>
      </c>
      <c r="V9" s="6" t="s">
        <v>70</v>
      </c>
      <c r="W9" s="6">
        <f t="shared" si="5"/>
        <v>1</v>
      </c>
      <c r="X9" s="6" t="s">
        <v>66</v>
      </c>
      <c r="Y9" s="6">
        <f t="shared" si="6"/>
        <v>0.66</v>
      </c>
      <c r="Z9" s="6" t="s">
        <v>99</v>
      </c>
      <c r="AA9" s="6">
        <f t="shared" si="7"/>
        <v>0.33</v>
      </c>
      <c r="AB9" s="6">
        <f t="shared" si="8"/>
        <v>3.64</v>
      </c>
      <c r="AC9" s="6">
        <f t="shared" si="9"/>
        <v>4.0949999999999998</v>
      </c>
      <c r="AD9" s="6" t="s">
        <v>68</v>
      </c>
      <c r="AE9" s="6">
        <f t="shared" si="10"/>
        <v>-1</v>
      </c>
      <c r="AF9" s="6" t="s">
        <v>66</v>
      </c>
      <c r="AG9" s="6">
        <f t="shared" si="11"/>
        <v>-0.66</v>
      </c>
      <c r="AH9" s="6" t="s">
        <v>67</v>
      </c>
      <c r="AI9" s="6">
        <f t="shared" si="12"/>
        <v>0.33</v>
      </c>
      <c r="AJ9" s="6" t="s">
        <v>69</v>
      </c>
      <c r="AK9" s="6">
        <f t="shared" si="13"/>
        <v>-0.66</v>
      </c>
      <c r="AL9" s="6" t="s">
        <v>67</v>
      </c>
      <c r="AM9" s="6">
        <f t="shared" si="14"/>
        <v>-0.33</v>
      </c>
      <c r="AN9" s="6" t="s">
        <v>69</v>
      </c>
      <c r="AO9" s="6">
        <f t="shared" si="15"/>
        <v>0.66</v>
      </c>
      <c r="AP9" s="6" t="s">
        <v>67</v>
      </c>
      <c r="AQ9" s="6">
        <f t="shared" si="16"/>
        <v>-0.33</v>
      </c>
      <c r="AR9" s="6" t="s">
        <v>70</v>
      </c>
      <c r="AS9" s="6">
        <f t="shared" si="17"/>
        <v>1</v>
      </c>
      <c r="AT9" s="6" t="s">
        <v>68</v>
      </c>
      <c r="AU9" s="6">
        <f t="shared" si="18"/>
        <v>1</v>
      </c>
      <c r="AV9" s="6">
        <f t="shared" si="19"/>
        <v>9.9999999999997868E-3</v>
      </c>
      <c r="AW9" s="6" t="s">
        <v>67</v>
      </c>
      <c r="AX9" s="6" t="s">
        <v>66</v>
      </c>
      <c r="AY9" s="6" t="s">
        <v>65</v>
      </c>
      <c r="AZ9" s="6" t="s">
        <v>68</v>
      </c>
      <c r="BA9" s="6" t="s">
        <v>68</v>
      </c>
      <c r="BB9" s="6" t="s">
        <v>70</v>
      </c>
      <c r="BC9" s="6" t="s">
        <v>70</v>
      </c>
      <c r="BD9" s="6" t="s">
        <v>70</v>
      </c>
      <c r="BE9" s="6" t="s">
        <v>65</v>
      </c>
      <c r="BF9" s="6" t="s">
        <v>69</v>
      </c>
      <c r="BG9" s="6" t="s">
        <v>69</v>
      </c>
      <c r="BH9" s="6" t="s">
        <v>71</v>
      </c>
      <c r="BX9" s="6" t="s">
        <v>91</v>
      </c>
      <c r="BY9" s="6" t="s">
        <v>87</v>
      </c>
      <c r="BZ9" s="6" t="s">
        <v>87</v>
      </c>
    </row>
    <row r="10" spans="1:79" x14ac:dyDescent="0.2">
      <c r="A10" s="4">
        <v>45547.901088287035</v>
      </c>
      <c r="B10" s="5" t="s">
        <v>100</v>
      </c>
      <c r="C10" s="6">
        <v>2001</v>
      </c>
      <c r="D10" s="6" t="s">
        <v>80</v>
      </c>
      <c r="E10" s="6" t="s">
        <v>85</v>
      </c>
      <c r="F10" s="6" t="s">
        <v>101</v>
      </c>
      <c r="G10" s="6" t="s">
        <v>61</v>
      </c>
      <c r="H10" s="6" t="s">
        <v>75</v>
      </c>
      <c r="I10" s="6" t="s">
        <v>76</v>
      </c>
      <c r="J10" s="6" t="s">
        <v>77</v>
      </c>
      <c r="K10" s="7" t="s">
        <v>152</v>
      </c>
      <c r="L10" s="6" t="s">
        <v>67</v>
      </c>
      <c r="M10" s="6">
        <f t="shared" si="0"/>
        <v>-0.33</v>
      </c>
      <c r="N10" s="6" t="s">
        <v>67</v>
      </c>
      <c r="O10" s="6">
        <f t="shared" si="1"/>
        <v>0.33</v>
      </c>
      <c r="P10" s="6" t="s">
        <v>67</v>
      </c>
      <c r="Q10" s="6">
        <f t="shared" si="2"/>
        <v>-0.33</v>
      </c>
      <c r="R10" s="6" t="s">
        <v>67</v>
      </c>
      <c r="S10" s="6">
        <f t="shared" si="3"/>
        <v>0.33</v>
      </c>
      <c r="T10" s="6" t="s">
        <v>67</v>
      </c>
      <c r="U10" s="6">
        <f t="shared" si="4"/>
        <v>-0.33</v>
      </c>
      <c r="V10" s="6" t="s">
        <v>66</v>
      </c>
      <c r="W10" s="6">
        <f t="shared" si="5"/>
        <v>0.66</v>
      </c>
      <c r="X10" s="6" t="s">
        <v>67</v>
      </c>
      <c r="Y10" s="6">
        <f t="shared" si="6"/>
        <v>0.33</v>
      </c>
      <c r="Z10" s="6" t="s">
        <v>65</v>
      </c>
      <c r="AA10" s="6">
        <f t="shared" si="7"/>
        <v>-0.33</v>
      </c>
      <c r="AB10" s="6">
        <f t="shared" si="8"/>
        <v>0.33</v>
      </c>
      <c r="AC10" s="6">
        <f t="shared" si="9"/>
        <v>0.37125000000000002</v>
      </c>
      <c r="AD10" s="6" t="s">
        <v>65</v>
      </c>
      <c r="AE10" s="6">
        <f t="shared" si="10"/>
        <v>-0.33</v>
      </c>
      <c r="AF10" s="6" t="s">
        <v>66</v>
      </c>
      <c r="AG10" s="6">
        <f t="shared" si="11"/>
        <v>-0.66</v>
      </c>
      <c r="AH10" s="6" t="s">
        <v>65</v>
      </c>
      <c r="AI10" s="6">
        <f t="shared" si="12"/>
        <v>-0.33</v>
      </c>
      <c r="AJ10" s="6" t="s">
        <v>65</v>
      </c>
      <c r="AK10" s="6">
        <f t="shared" si="13"/>
        <v>-0.33</v>
      </c>
      <c r="AL10" s="6" t="s">
        <v>66</v>
      </c>
      <c r="AM10" s="6">
        <f t="shared" si="14"/>
        <v>-0.66</v>
      </c>
      <c r="AN10" s="6" t="s">
        <v>68</v>
      </c>
      <c r="AO10" s="6">
        <f t="shared" si="15"/>
        <v>1</v>
      </c>
      <c r="AP10" s="6" t="s">
        <v>67</v>
      </c>
      <c r="AQ10" s="6">
        <f t="shared" si="16"/>
        <v>-0.33</v>
      </c>
      <c r="AR10" s="6" t="s">
        <v>66</v>
      </c>
      <c r="AS10" s="6">
        <f t="shared" si="17"/>
        <v>0.66</v>
      </c>
      <c r="AT10" s="6" t="s">
        <v>68</v>
      </c>
      <c r="AU10" s="6">
        <f t="shared" si="18"/>
        <v>1</v>
      </c>
      <c r="AV10" s="6">
        <f t="shared" si="19"/>
        <v>1.999999999999974E-2</v>
      </c>
      <c r="AW10" s="6" t="s">
        <v>66</v>
      </c>
      <c r="AX10" s="6" t="s">
        <v>67</v>
      </c>
      <c r="AY10" s="6" t="s">
        <v>69</v>
      </c>
      <c r="AZ10" s="6" t="s">
        <v>69</v>
      </c>
      <c r="BA10" s="6" t="s">
        <v>68</v>
      </c>
      <c r="BB10" s="6" t="s">
        <v>68</v>
      </c>
      <c r="BC10" s="6" t="s">
        <v>68</v>
      </c>
      <c r="BD10" s="6" t="s">
        <v>69</v>
      </c>
      <c r="BE10" s="6" t="s">
        <v>66</v>
      </c>
      <c r="BF10" s="6" t="s">
        <v>65</v>
      </c>
      <c r="BG10" s="6" t="s">
        <v>66</v>
      </c>
      <c r="BO10" s="6" t="s">
        <v>71</v>
      </c>
      <c r="BX10" s="6" t="s">
        <v>102</v>
      </c>
      <c r="BY10" s="6" t="s">
        <v>87</v>
      </c>
      <c r="BZ10" s="6" t="s">
        <v>87</v>
      </c>
    </row>
    <row r="11" spans="1:79" x14ac:dyDescent="0.2">
      <c r="A11" s="4">
        <v>45554.362967569439</v>
      </c>
      <c r="B11" s="5" t="s">
        <v>103</v>
      </c>
      <c r="C11" s="6">
        <v>2001</v>
      </c>
      <c r="D11" s="6" t="s">
        <v>80</v>
      </c>
      <c r="E11" s="6" t="s">
        <v>85</v>
      </c>
      <c r="F11" s="6" t="s">
        <v>61</v>
      </c>
      <c r="G11" s="6" t="s">
        <v>61</v>
      </c>
      <c r="H11" s="6" t="s">
        <v>75</v>
      </c>
      <c r="I11" s="6" t="s">
        <v>76</v>
      </c>
      <c r="J11" s="6" t="s">
        <v>64</v>
      </c>
      <c r="K11" s="7" t="s">
        <v>152</v>
      </c>
      <c r="L11" s="6" t="s">
        <v>65</v>
      </c>
      <c r="M11" s="6">
        <f t="shared" si="0"/>
        <v>0.33</v>
      </c>
      <c r="N11" s="6" t="s">
        <v>67</v>
      </c>
      <c r="O11" s="6">
        <f t="shared" si="1"/>
        <v>0.33</v>
      </c>
      <c r="P11" s="6" t="s">
        <v>66</v>
      </c>
      <c r="Q11" s="6">
        <f t="shared" si="2"/>
        <v>-0.66</v>
      </c>
      <c r="R11" s="6" t="s">
        <v>67</v>
      </c>
      <c r="S11" s="6">
        <f t="shared" si="3"/>
        <v>0.33</v>
      </c>
      <c r="T11" s="6" t="s">
        <v>65</v>
      </c>
      <c r="U11" s="6">
        <f t="shared" si="4"/>
        <v>0.33</v>
      </c>
      <c r="V11" s="6" t="s">
        <v>65</v>
      </c>
      <c r="W11" s="6">
        <f t="shared" si="5"/>
        <v>-0.33</v>
      </c>
      <c r="X11" s="6" t="s">
        <v>66</v>
      </c>
      <c r="Y11" s="6">
        <f t="shared" si="6"/>
        <v>0.66</v>
      </c>
      <c r="Z11" s="6" t="s">
        <v>69</v>
      </c>
      <c r="AA11" s="6">
        <f t="shared" si="7"/>
        <v>-0.66</v>
      </c>
      <c r="AB11" s="6">
        <f t="shared" si="8"/>
        <v>0.33</v>
      </c>
      <c r="AC11" s="6">
        <f t="shared" si="9"/>
        <v>0.37125000000000002</v>
      </c>
      <c r="AD11" s="6" t="s">
        <v>65</v>
      </c>
      <c r="AE11" s="6">
        <f t="shared" si="10"/>
        <v>-0.33</v>
      </c>
      <c r="AF11" s="6" t="s">
        <v>66</v>
      </c>
      <c r="AG11" s="6">
        <f t="shared" si="11"/>
        <v>-0.66</v>
      </c>
      <c r="AH11" s="6" t="s">
        <v>69</v>
      </c>
      <c r="AI11" s="6">
        <f t="shared" si="12"/>
        <v>-0.66</v>
      </c>
      <c r="AJ11" s="6" t="s">
        <v>68</v>
      </c>
      <c r="AK11" s="6">
        <f t="shared" si="13"/>
        <v>-1</v>
      </c>
      <c r="AL11" s="6" t="s">
        <v>67</v>
      </c>
      <c r="AM11" s="6">
        <f t="shared" si="14"/>
        <v>-0.33</v>
      </c>
      <c r="AN11" s="6" t="s">
        <v>69</v>
      </c>
      <c r="AO11" s="6">
        <f t="shared" si="15"/>
        <v>0.66</v>
      </c>
      <c r="AP11" s="6" t="s">
        <v>67</v>
      </c>
      <c r="AQ11" s="6">
        <f t="shared" si="16"/>
        <v>-0.33</v>
      </c>
      <c r="AR11" s="6" t="s">
        <v>66</v>
      </c>
      <c r="AS11" s="6">
        <f t="shared" si="17"/>
        <v>0.66</v>
      </c>
      <c r="AT11" s="6" t="s">
        <v>68</v>
      </c>
      <c r="AU11" s="6">
        <f t="shared" si="18"/>
        <v>1</v>
      </c>
      <c r="AV11" s="6">
        <f t="shared" si="19"/>
        <v>-0.99</v>
      </c>
      <c r="AW11" s="6" t="s">
        <v>66</v>
      </c>
      <c r="AX11" s="6" t="s">
        <v>67</v>
      </c>
      <c r="AY11" s="6" t="s">
        <v>68</v>
      </c>
      <c r="AZ11" s="6" t="s">
        <v>69</v>
      </c>
      <c r="BA11" s="6" t="s">
        <v>68</v>
      </c>
      <c r="BB11" s="6" t="s">
        <v>67</v>
      </c>
      <c r="BC11" s="6" t="s">
        <v>65</v>
      </c>
      <c r="BD11" s="6" t="s">
        <v>66</v>
      </c>
      <c r="BE11" s="6" t="s">
        <v>70</v>
      </c>
      <c r="BF11" s="6" t="s">
        <v>65</v>
      </c>
      <c r="BG11" s="6" t="s">
        <v>65</v>
      </c>
      <c r="BH11" s="6" t="s">
        <v>71</v>
      </c>
      <c r="BL11" s="6" t="s">
        <v>71</v>
      </c>
      <c r="BM11" s="6" t="s">
        <v>71</v>
      </c>
      <c r="BO11" s="6" t="s">
        <v>71</v>
      </c>
      <c r="BR11" s="6" t="s">
        <v>71</v>
      </c>
      <c r="BX11" s="6" t="s">
        <v>104</v>
      </c>
      <c r="BY11" s="6" t="s">
        <v>91</v>
      </c>
      <c r="BZ11" s="6" t="s">
        <v>91</v>
      </c>
    </row>
    <row r="12" spans="1:79" x14ac:dyDescent="0.2">
      <c r="A12" s="4">
        <v>45551.790654189812</v>
      </c>
      <c r="B12" s="5" t="s">
        <v>105</v>
      </c>
      <c r="C12" s="6">
        <v>2002</v>
      </c>
      <c r="D12" s="6" t="s">
        <v>80</v>
      </c>
      <c r="E12" s="6" t="s">
        <v>60</v>
      </c>
      <c r="F12" s="6" t="s">
        <v>82</v>
      </c>
      <c r="G12" s="6" t="s">
        <v>82</v>
      </c>
      <c r="H12" s="6" t="s">
        <v>83</v>
      </c>
      <c r="I12" s="6" t="s">
        <v>76</v>
      </c>
      <c r="J12" s="6" t="s">
        <v>64</v>
      </c>
      <c r="K12" s="7" t="s">
        <v>152</v>
      </c>
      <c r="L12" s="6" t="s">
        <v>69</v>
      </c>
      <c r="M12" s="6">
        <f t="shared" si="0"/>
        <v>0.66</v>
      </c>
      <c r="N12" s="6" t="s">
        <v>65</v>
      </c>
      <c r="O12" s="6">
        <f t="shared" si="1"/>
        <v>-0.33</v>
      </c>
      <c r="P12" s="6" t="s">
        <v>70</v>
      </c>
      <c r="Q12" s="6">
        <f t="shared" si="2"/>
        <v>-1</v>
      </c>
      <c r="R12" s="6" t="s">
        <v>66</v>
      </c>
      <c r="S12" s="6">
        <f t="shared" si="3"/>
        <v>0.66</v>
      </c>
      <c r="T12" s="6" t="s">
        <v>67</v>
      </c>
      <c r="U12" s="6">
        <f t="shared" si="4"/>
        <v>-0.33</v>
      </c>
      <c r="V12" s="6" t="s">
        <v>67</v>
      </c>
      <c r="W12" s="6">
        <f t="shared" si="5"/>
        <v>0.33</v>
      </c>
      <c r="X12" s="6" t="s">
        <v>65</v>
      </c>
      <c r="Y12" s="6">
        <f t="shared" si="6"/>
        <v>-0.33</v>
      </c>
      <c r="Z12" s="6" t="s">
        <v>68</v>
      </c>
      <c r="AA12" s="6">
        <f t="shared" si="7"/>
        <v>-1</v>
      </c>
      <c r="AB12" s="6">
        <f t="shared" si="8"/>
        <v>-1.3399999999999999</v>
      </c>
      <c r="AC12" s="6">
        <f t="shared" si="9"/>
        <v>-1.5074999999999998</v>
      </c>
      <c r="AD12" s="6" t="s">
        <v>67</v>
      </c>
      <c r="AE12" s="6">
        <f t="shared" si="10"/>
        <v>0.33</v>
      </c>
      <c r="AF12" s="6" t="s">
        <v>66</v>
      </c>
      <c r="AG12" s="6">
        <f t="shared" si="11"/>
        <v>-0.66</v>
      </c>
      <c r="AH12" s="6" t="s">
        <v>66</v>
      </c>
      <c r="AI12" s="6">
        <f t="shared" si="12"/>
        <v>0.66</v>
      </c>
      <c r="AJ12" s="6" t="s">
        <v>70</v>
      </c>
      <c r="AK12" s="6">
        <f t="shared" si="13"/>
        <v>1</v>
      </c>
      <c r="AL12" s="6" t="s">
        <v>66</v>
      </c>
      <c r="AM12" s="6">
        <f t="shared" si="14"/>
        <v>-0.66</v>
      </c>
      <c r="AN12" s="6" t="s">
        <v>66</v>
      </c>
      <c r="AO12" s="6">
        <f t="shared" si="15"/>
        <v>-0.66</v>
      </c>
      <c r="AP12" s="6" t="s">
        <v>70</v>
      </c>
      <c r="AQ12" s="6">
        <f t="shared" si="16"/>
        <v>-1</v>
      </c>
      <c r="AR12" s="6" t="s">
        <v>66</v>
      </c>
      <c r="AS12" s="6">
        <f t="shared" si="17"/>
        <v>0.66</v>
      </c>
      <c r="AT12" s="6" t="s">
        <v>69</v>
      </c>
      <c r="AU12" s="6">
        <f t="shared" si="18"/>
        <v>0.66</v>
      </c>
      <c r="AV12" s="6">
        <f t="shared" si="19"/>
        <v>0.33</v>
      </c>
      <c r="AW12" s="6" t="s">
        <v>66</v>
      </c>
      <c r="AX12" s="6" t="s">
        <v>66</v>
      </c>
      <c r="AY12" s="6" t="s">
        <v>67</v>
      </c>
      <c r="AZ12" s="6" t="s">
        <v>67</v>
      </c>
      <c r="BA12" s="6" t="s">
        <v>69</v>
      </c>
      <c r="BB12" s="6" t="s">
        <v>67</v>
      </c>
      <c r="BC12" s="6" t="s">
        <v>67</v>
      </c>
      <c r="BD12" s="6" t="s">
        <v>67</v>
      </c>
      <c r="BE12" s="6" t="s">
        <v>69</v>
      </c>
      <c r="BF12" s="6" t="s">
        <v>66</v>
      </c>
      <c r="BG12" s="6" t="s">
        <v>66</v>
      </c>
      <c r="BL12" s="6" t="s">
        <v>71</v>
      </c>
      <c r="BX12" s="6" t="s">
        <v>91</v>
      </c>
      <c r="BY12" s="6" t="s">
        <v>104</v>
      </c>
      <c r="BZ12" s="6" t="s">
        <v>91</v>
      </c>
    </row>
    <row r="13" spans="1:79" x14ac:dyDescent="0.2">
      <c r="A13" s="4">
        <v>45554.667973495365</v>
      </c>
      <c r="B13" s="5" t="s">
        <v>106</v>
      </c>
      <c r="C13" s="6">
        <v>2002</v>
      </c>
      <c r="D13" s="6" t="s">
        <v>80</v>
      </c>
      <c r="E13" s="6" t="s">
        <v>85</v>
      </c>
      <c r="F13" s="6" t="s">
        <v>74</v>
      </c>
      <c r="G13" s="6" t="s">
        <v>74</v>
      </c>
      <c r="H13" s="6" t="s">
        <v>83</v>
      </c>
      <c r="I13" s="6" t="s">
        <v>76</v>
      </c>
      <c r="J13" s="6" t="s">
        <v>89</v>
      </c>
      <c r="K13" s="7" t="s">
        <v>152</v>
      </c>
      <c r="L13" s="6" t="s">
        <v>69</v>
      </c>
      <c r="M13" s="6">
        <f t="shared" si="0"/>
        <v>0.66</v>
      </c>
      <c r="N13" s="6" t="s">
        <v>70</v>
      </c>
      <c r="O13" s="6">
        <f t="shared" si="1"/>
        <v>1</v>
      </c>
      <c r="P13" s="6" t="s">
        <v>68</v>
      </c>
      <c r="Q13" s="6">
        <f t="shared" si="2"/>
        <v>1</v>
      </c>
      <c r="R13" s="6" t="s">
        <v>66</v>
      </c>
      <c r="S13" s="6">
        <f t="shared" si="3"/>
        <v>0.66</v>
      </c>
      <c r="T13" s="6" t="s">
        <v>69</v>
      </c>
      <c r="U13" s="6">
        <f t="shared" si="4"/>
        <v>0.66</v>
      </c>
      <c r="V13" s="6" t="s">
        <v>69</v>
      </c>
      <c r="W13" s="6">
        <f t="shared" si="5"/>
        <v>-0.66</v>
      </c>
      <c r="X13" s="6" t="s">
        <v>66</v>
      </c>
      <c r="Y13" s="6">
        <f t="shared" si="6"/>
        <v>0.66</v>
      </c>
      <c r="Z13" s="6" t="s">
        <v>69</v>
      </c>
      <c r="AA13" s="6">
        <f t="shared" si="7"/>
        <v>-0.66</v>
      </c>
      <c r="AB13" s="6">
        <f t="shared" si="8"/>
        <v>3.3200000000000003</v>
      </c>
      <c r="AC13" s="6">
        <f t="shared" si="9"/>
        <v>3.7350000000000003</v>
      </c>
      <c r="AD13" s="6" t="s">
        <v>69</v>
      </c>
      <c r="AE13" s="6">
        <f t="shared" si="10"/>
        <v>-0.66</v>
      </c>
      <c r="AF13" s="6" t="s">
        <v>70</v>
      </c>
      <c r="AG13" s="6">
        <f t="shared" si="11"/>
        <v>-1</v>
      </c>
      <c r="AH13" s="6" t="s">
        <v>67</v>
      </c>
      <c r="AI13" s="6">
        <f t="shared" si="12"/>
        <v>0.33</v>
      </c>
      <c r="AJ13" s="6" t="s">
        <v>67</v>
      </c>
      <c r="AK13" s="6">
        <f t="shared" si="13"/>
        <v>0.33</v>
      </c>
      <c r="AL13" s="6" t="s">
        <v>70</v>
      </c>
      <c r="AM13" s="6">
        <f t="shared" si="14"/>
        <v>-1</v>
      </c>
      <c r="AN13" s="6" t="s">
        <v>68</v>
      </c>
      <c r="AO13" s="6">
        <f t="shared" si="15"/>
        <v>1</v>
      </c>
      <c r="AP13" s="6" t="s">
        <v>69</v>
      </c>
      <c r="AQ13" s="6">
        <f t="shared" si="16"/>
        <v>0.66</v>
      </c>
      <c r="AR13" s="6" t="s">
        <v>70</v>
      </c>
      <c r="AS13" s="6">
        <f t="shared" si="17"/>
        <v>1</v>
      </c>
      <c r="AT13" s="6" t="s">
        <v>66</v>
      </c>
      <c r="AU13" s="6">
        <f t="shared" si="18"/>
        <v>-0.66</v>
      </c>
      <c r="AV13" s="6">
        <f t="shared" si="19"/>
        <v>0</v>
      </c>
      <c r="AW13" s="6" t="s">
        <v>66</v>
      </c>
      <c r="AX13" s="6" t="s">
        <v>67</v>
      </c>
      <c r="AY13" s="6" t="s">
        <v>65</v>
      </c>
      <c r="AZ13" s="6" t="s">
        <v>65</v>
      </c>
      <c r="BA13" s="6" t="s">
        <v>67</v>
      </c>
      <c r="BB13" s="6" t="s">
        <v>65</v>
      </c>
      <c r="BC13" s="6" t="s">
        <v>65</v>
      </c>
      <c r="BD13" s="6" t="s">
        <v>69</v>
      </c>
      <c r="BE13" s="6" t="s">
        <v>69</v>
      </c>
      <c r="BF13" s="6" t="s">
        <v>66</v>
      </c>
      <c r="BG13" s="6" t="s">
        <v>65</v>
      </c>
      <c r="BH13" s="6" t="s">
        <v>71</v>
      </c>
      <c r="BM13" s="6" t="s">
        <v>71</v>
      </c>
      <c r="BR13" s="6" t="s">
        <v>71</v>
      </c>
      <c r="BX13" s="6" t="s">
        <v>104</v>
      </c>
      <c r="BY13" s="6" t="s">
        <v>91</v>
      </c>
      <c r="BZ13" s="6" t="s">
        <v>91</v>
      </c>
    </row>
    <row r="14" spans="1:79" x14ac:dyDescent="0.2">
      <c r="A14" s="4">
        <v>45554.826449247688</v>
      </c>
      <c r="B14" s="5" t="s">
        <v>107</v>
      </c>
      <c r="C14" s="6">
        <v>2002</v>
      </c>
      <c r="D14" s="6" t="s">
        <v>98</v>
      </c>
      <c r="E14" s="6" t="s">
        <v>60</v>
      </c>
      <c r="F14" s="6" t="s">
        <v>94</v>
      </c>
      <c r="G14" s="6" t="s">
        <v>94</v>
      </c>
      <c r="H14" s="6" t="s">
        <v>62</v>
      </c>
      <c r="I14" s="6" t="s">
        <v>63</v>
      </c>
      <c r="J14" s="6" t="s">
        <v>64</v>
      </c>
      <c r="K14" s="7" t="s">
        <v>152</v>
      </c>
      <c r="L14" s="6" t="s">
        <v>65</v>
      </c>
      <c r="M14" s="6">
        <f t="shared" si="0"/>
        <v>0.33</v>
      </c>
      <c r="N14" s="6" t="s">
        <v>65</v>
      </c>
      <c r="O14" s="6">
        <f t="shared" si="1"/>
        <v>-0.33</v>
      </c>
      <c r="P14" s="6" t="s">
        <v>70</v>
      </c>
      <c r="Q14" s="6">
        <f t="shared" si="2"/>
        <v>-1</v>
      </c>
      <c r="R14" s="6" t="s">
        <v>66</v>
      </c>
      <c r="S14" s="6">
        <f t="shared" si="3"/>
        <v>0.66</v>
      </c>
      <c r="T14" s="6" t="s">
        <v>65</v>
      </c>
      <c r="U14" s="6">
        <f t="shared" si="4"/>
        <v>0.33</v>
      </c>
      <c r="V14" s="6" t="s">
        <v>65</v>
      </c>
      <c r="W14" s="6">
        <f t="shared" si="5"/>
        <v>-0.33</v>
      </c>
      <c r="X14" s="6" t="s">
        <v>67</v>
      </c>
      <c r="Y14" s="6">
        <f t="shared" si="6"/>
        <v>0.33</v>
      </c>
      <c r="Z14" s="6" t="s">
        <v>69</v>
      </c>
      <c r="AA14" s="6">
        <f t="shared" si="7"/>
        <v>-0.66</v>
      </c>
      <c r="AB14" s="6">
        <f t="shared" si="8"/>
        <v>-0.66999999999999993</v>
      </c>
      <c r="AC14" s="6">
        <f t="shared" si="9"/>
        <v>-0.75374999999999992</v>
      </c>
      <c r="AD14" s="6" t="s">
        <v>67</v>
      </c>
      <c r="AE14" s="6">
        <f t="shared" si="10"/>
        <v>0.33</v>
      </c>
      <c r="AF14" s="6" t="s">
        <v>66</v>
      </c>
      <c r="AG14" s="6">
        <f t="shared" si="11"/>
        <v>-0.66</v>
      </c>
      <c r="AH14" s="6" t="s">
        <v>68</v>
      </c>
      <c r="AI14" s="6">
        <f t="shared" si="12"/>
        <v>-1</v>
      </c>
      <c r="AJ14" s="6" t="s">
        <v>68</v>
      </c>
      <c r="AK14" s="6">
        <f t="shared" si="13"/>
        <v>-1</v>
      </c>
      <c r="AL14" s="6" t="s">
        <v>65</v>
      </c>
      <c r="AM14" s="6">
        <f t="shared" si="14"/>
        <v>0.33</v>
      </c>
      <c r="AN14" s="6" t="s">
        <v>65</v>
      </c>
      <c r="AO14" s="6">
        <f t="shared" si="15"/>
        <v>0.33</v>
      </c>
      <c r="AP14" s="6" t="s">
        <v>67</v>
      </c>
      <c r="AQ14" s="6">
        <f t="shared" si="16"/>
        <v>-0.33</v>
      </c>
      <c r="AR14" s="6" t="s">
        <v>65</v>
      </c>
      <c r="AS14" s="6">
        <f t="shared" si="17"/>
        <v>-0.33</v>
      </c>
      <c r="AT14" s="6" t="s">
        <v>68</v>
      </c>
      <c r="AU14" s="6">
        <f t="shared" si="18"/>
        <v>1</v>
      </c>
      <c r="AV14" s="6">
        <f t="shared" si="19"/>
        <v>-1.33</v>
      </c>
      <c r="AW14" s="6" t="s">
        <v>66</v>
      </c>
      <c r="AX14" s="6" t="s">
        <v>66</v>
      </c>
      <c r="AY14" s="6" t="s">
        <v>65</v>
      </c>
      <c r="AZ14" s="6" t="s">
        <v>65</v>
      </c>
      <c r="BA14" s="6" t="s">
        <v>68</v>
      </c>
      <c r="BB14" s="6" t="s">
        <v>65</v>
      </c>
      <c r="BC14" s="6" t="s">
        <v>69</v>
      </c>
      <c r="BD14" s="6" t="s">
        <v>65</v>
      </c>
      <c r="BE14" s="6" t="s">
        <v>69</v>
      </c>
      <c r="BF14" s="6" t="s">
        <v>66</v>
      </c>
      <c r="BG14" s="6" t="s">
        <v>67</v>
      </c>
      <c r="BK14" s="6" t="s">
        <v>71</v>
      </c>
      <c r="BM14" s="6" t="s">
        <v>71</v>
      </c>
      <c r="BX14" s="6" t="s">
        <v>104</v>
      </c>
      <c r="BY14" s="6" t="s">
        <v>104</v>
      </c>
      <c r="BZ14" s="6" t="s">
        <v>91</v>
      </c>
    </row>
    <row r="15" spans="1:79" x14ac:dyDescent="0.2">
      <c r="A15" s="4">
        <v>45547.899888159722</v>
      </c>
      <c r="B15" s="5" t="s">
        <v>108</v>
      </c>
      <c r="C15" s="6">
        <v>2003</v>
      </c>
      <c r="D15" s="6" t="s">
        <v>80</v>
      </c>
      <c r="E15" s="6" t="s">
        <v>60</v>
      </c>
      <c r="F15" s="6" t="s">
        <v>109</v>
      </c>
      <c r="G15" s="6" t="s">
        <v>94</v>
      </c>
      <c r="H15" s="6" t="s">
        <v>110</v>
      </c>
      <c r="I15" s="6" t="s">
        <v>76</v>
      </c>
      <c r="J15" s="6" t="s">
        <v>89</v>
      </c>
      <c r="K15" s="7" t="s">
        <v>152</v>
      </c>
      <c r="L15" s="6" t="s">
        <v>67</v>
      </c>
      <c r="M15" s="6">
        <f t="shared" si="0"/>
        <v>-0.33</v>
      </c>
      <c r="N15" s="6" t="s">
        <v>67</v>
      </c>
      <c r="O15" s="6">
        <f t="shared" si="1"/>
        <v>0.33</v>
      </c>
      <c r="P15" s="6" t="s">
        <v>66</v>
      </c>
      <c r="Q15" s="6">
        <f t="shared" si="2"/>
        <v>-0.66</v>
      </c>
      <c r="R15" s="6" t="s">
        <v>67</v>
      </c>
      <c r="S15" s="6">
        <f t="shared" si="3"/>
        <v>0.33</v>
      </c>
      <c r="T15" s="6" t="s">
        <v>67</v>
      </c>
      <c r="U15" s="6">
        <f t="shared" si="4"/>
        <v>-0.33</v>
      </c>
      <c r="V15" s="6" t="s">
        <v>70</v>
      </c>
      <c r="W15" s="6">
        <f t="shared" si="5"/>
        <v>1</v>
      </c>
      <c r="X15" s="6" t="s">
        <v>67</v>
      </c>
      <c r="Y15" s="6">
        <f t="shared" si="6"/>
        <v>0.33</v>
      </c>
      <c r="Z15" s="6" t="s">
        <v>69</v>
      </c>
      <c r="AA15" s="6">
        <f t="shared" si="7"/>
        <v>-0.66</v>
      </c>
      <c r="AB15" s="6">
        <f t="shared" si="8"/>
        <v>9.9999999999998979E-3</v>
      </c>
      <c r="AC15" s="6">
        <f t="shared" si="9"/>
        <v>1.1249999999999885E-2</v>
      </c>
      <c r="AD15" s="6" t="s">
        <v>69</v>
      </c>
      <c r="AE15" s="6">
        <f t="shared" si="10"/>
        <v>-0.66</v>
      </c>
      <c r="AF15" s="6" t="s">
        <v>66</v>
      </c>
      <c r="AG15" s="6">
        <f t="shared" si="11"/>
        <v>-0.66</v>
      </c>
      <c r="AH15" s="6" t="s">
        <v>67</v>
      </c>
      <c r="AI15" s="6">
        <f t="shared" si="12"/>
        <v>0.33</v>
      </c>
      <c r="AJ15" s="6" t="s">
        <v>68</v>
      </c>
      <c r="AK15" s="6">
        <f t="shared" si="13"/>
        <v>-1</v>
      </c>
      <c r="AL15" s="6" t="s">
        <v>70</v>
      </c>
      <c r="AM15" s="6">
        <f t="shared" si="14"/>
        <v>-1</v>
      </c>
      <c r="AN15" s="6" t="s">
        <v>69</v>
      </c>
      <c r="AO15" s="6">
        <f t="shared" si="15"/>
        <v>0.66</v>
      </c>
      <c r="AP15" s="6" t="s">
        <v>66</v>
      </c>
      <c r="AQ15" s="6">
        <f t="shared" si="16"/>
        <v>-0.66</v>
      </c>
      <c r="AR15" s="6" t="s">
        <v>69</v>
      </c>
      <c r="AS15" s="6">
        <f t="shared" si="17"/>
        <v>-0.66</v>
      </c>
      <c r="AT15" s="6" t="s">
        <v>68</v>
      </c>
      <c r="AU15" s="6">
        <f t="shared" si="18"/>
        <v>1</v>
      </c>
      <c r="AV15" s="6">
        <f t="shared" si="19"/>
        <v>-2.6500000000000004</v>
      </c>
      <c r="AW15" s="6" t="s">
        <v>70</v>
      </c>
      <c r="AX15" s="6" t="s">
        <v>65</v>
      </c>
      <c r="AY15" s="6" t="s">
        <v>67</v>
      </c>
      <c r="AZ15" s="6" t="s">
        <v>66</v>
      </c>
      <c r="BA15" s="6" t="s">
        <v>67</v>
      </c>
      <c r="BB15" s="6" t="s">
        <v>66</v>
      </c>
      <c r="BC15" s="6" t="s">
        <v>66</v>
      </c>
      <c r="BD15" s="6" t="s">
        <v>66</v>
      </c>
      <c r="BE15" s="6" t="s">
        <v>66</v>
      </c>
      <c r="BF15" s="6" t="s">
        <v>65</v>
      </c>
      <c r="BG15" s="6" t="s">
        <v>69</v>
      </c>
      <c r="BH15" s="6" t="s">
        <v>71</v>
      </c>
      <c r="BJ15" s="6" t="s">
        <v>71</v>
      </c>
      <c r="BK15" s="6" t="s">
        <v>71</v>
      </c>
      <c r="BM15" s="6" t="s">
        <v>71</v>
      </c>
      <c r="BR15" s="6" t="s">
        <v>71</v>
      </c>
      <c r="BX15" s="6" t="s">
        <v>104</v>
      </c>
      <c r="BY15" s="6" t="s">
        <v>91</v>
      </c>
      <c r="BZ15" s="6" t="s">
        <v>91</v>
      </c>
    </row>
    <row r="16" spans="1:79" x14ac:dyDescent="0.2">
      <c r="A16" s="4">
        <v>45549.732355775464</v>
      </c>
      <c r="B16" s="5" t="s">
        <v>111</v>
      </c>
      <c r="C16" s="6">
        <v>2002</v>
      </c>
      <c r="D16" s="6" t="s">
        <v>80</v>
      </c>
      <c r="E16" s="6" t="s">
        <v>60</v>
      </c>
      <c r="F16" s="6" t="s">
        <v>61</v>
      </c>
      <c r="G16" s="6" t="s">
        <v>61</v>
      </c>
      <c r="H16" s="6" t="s">
        <v>75</v>
      </c>
      <c r="I16" s="6" t="s">
        <v>76</v>
      </c>
      <c r="J16" s="6" t="s">
        <v>64</v>
      </c>
      <c r="K16" s="7" t="s">
        <v>152</v>
      </c>
      <c r="L16" s="6" t="s">
        <v>68</v>
      </c>
      <c r="M16" s="6">
        <f t="shared" si="0"/>
        <v>1</v>
      </c>
      <c r="N16" s="6" t="s">
        <v>67</v>
      </c>
      <c r="O16" s="6">
        <f t="shared" si="1"/>
        <v>0.33</v>
      </c>
      <c r="P16" s="6" t="s">
        <v>66</v>
      </c>
      <c r="Q16" s="6">
        <f t="shared" si="2"/>
        <v>-0.66</v>
      </c>
      <c r="R16" s="6" t="s">
        <v>66</v>
      </c>
      <c r="S16" s="6">
        <f t="shared" si="3"/>
        <v>0.66</v>
      </c>
      <c r="T16" s="6" t="s">
        <v>65</v>
      </c>
      <c r="U16" s="6">
        <f t="shared" si="4"/>
        <v>0.33</v>
      </c>
      <c r="V16" s="6" t="s">
        <v>66</v>
      </c>
      <c r="W16" s="6">
        <f t="shared" si="5"/>
        <v>0.66</v>
      </c>
      <c r="X16" s="6" t="s">
        <v>70</v>
      </c>
      <c r="Y16" s="6">
        <f t="shared" si="6"/>
        <v>1</v>
      </c>
      <c r="Z16" s="6" t="s">
        <v>70</v>
      </c>
      <c r="AA16" s="6">
        <f t="shared" si="7"/>
        <v>1</v>
      </c>
      <c r="AB16" s="6">
        <f t="shared" si="8"/>
        <v>4.32</v>
      </c>
      <c r="AC16" s="6">
        <f t="shared" si="9"/>
        <v>4.8600000000000003</v>
      </c>
      <c r="AD16" s="6" t="s">
        <v>65</v>
      </c>
      <c r="AE16" s="6">
        <f t="shared" si="10"/>
        <v>-0.33</v>
      </c>
      <c r="AF16" s="6" t="s">
        <v>65</v>
      </c>
      <c r="AG16" s="6">
        <f t="shared" si="11"/>
        <v>0.33</v>
      </c>
      <c r="AH16" s="6" t="s">
        <v>65</v>
      </c>
      <c r="AI16" s="6">
        <f t="shared" si="12"/>
        <v>-0.33</v>
      </c>
      <c r="AJ16" s="6" t="s">
        <v>67</v>
      </c>
      <c r="AK16" s="6">
        <f t="shared" si="13"/>
        <v>0.33</v>
      </c>
      <c r="AL16" s="6" t="s">
        <v>66</v>
      </c>
      <c r="AM16" s="6">
        <f t="shared" si="14"/>
        <v>-0.66</v>
      </c>
      <c r="AN16" s="6" t="s">
        <v>69</v>
      </c>
      <c r="AO16" s="6">
        <f t="shared" si="15"/>
        <v>0.66</v>
      </c>
      <c r="AP16" s="6" t="s">
        <v>70</v>
      </c>
      <c r="AQ16" s="6">
        <f t="shared" si="16"/>
        <v>-1</v>
      </c>
      <c r="AR16" s="6" t="s">
        <v>70</v>
      </c>
      <c r="AS16" s="6">
        <f t="shared" si="17"/>
        <v>1</v>
      </c>
      <c r="AT16" s="6" t="s">
        <v>68</v>
      </c>
      <c r="AU16" s="6">
        <f t="shared" si="18"/>
        <v>1</v>
      </c>
      <c r="AV16" s="6">
        <f t="shared" si="19"/>
        <v>1</v>
      </c>
      <c r="AW16" s="6" t="s">
        <v>67</v>
      </c>
      <c r="AX16" s="6" t="s">
        <v>66</v>
      </c>
      <c r="AY16" s="6" t="s">
        <v>66</v>
      </c>
      <c r="AZ16" s="6" t="s">
        <v>69</v>
      </c>
      <c r="BA16" s="6" t="s">
        <v>66</v>
      </c>
      <c r="BB16" s="6" t="s">
        <v>68</v>
      </c>
      <c r="BC16" s="6" t="s">
        <v>68</v>
      </c>
      <c r="BD16" s="6" t="s">
        <v>69</v>
      </c>
      <c r="BE16" s="6" t="s">
        <v>66</v>
      </c>
      <c r="BF16" s="6" t="s">
        <v>67</v>
      </c>
      <c r="BG16" s="6" t="s">
        <v>70</v>
      </c>
      <c r="BH16" s="6" t="s">
        <v>71</v>
      </c>
      <c r="BO16" s="6" t="s">
        <v>71</v>
      </c>
      <c r="BX16" s="6" t="s">
        <v>104</v>
      </c>
      <c r="BY16" s="6" t="s">
        <v>104</v>
      </c>
      <c r="BZ16" s="6" t="s">
        <v>91</v>
      </c>
    </row>
    <row r="17" spans="1:78" x14ac:dyDescent="0.2">
      <c r="A17" s="4">
        <v>45547.900811840278</v>
      </c>
      <c r="B17" s="5" t="s">
        <v>112</v>
      </c>
      <c r="C17" s="6">
        <v>2001</v>
      </c>
      <c r="D17" s="6" t="s">
        <v>80</v>
      </c>
      <c r="E17" s="6" t="s">
        <v>85</v>
      </c>
      <c r="F17" s="6" t="s">
        <v>94</v>
      </c>
      <c r="G17" s="6" t="s">
        <v>74</v>
      </c>
      <c r="H17" s="6" t="s">
        <v>83</v>
      </c>
      <c r="I17" s="6" t="s">
        <v>76</v>
      </c>
      <c r="J17" s="6" t="s">
        <v>64</v>
      </c>
      <c r="K17" s="7" t="s">
        <v>152</v>
      </c>
      <c r="L17" s="6" t="s">
        <v>69</v>
      </c>
      <c r="M17" s="6">
        <f t="shared" si="0"/>
        <v>0.66</v>
      </c>
      <c r="N17" s="6" t="s">
        <v>67</v>
      </c>
      <c r="O17" s="6">
        <f t="shared" si="1"/>
        <v>0.33</v>
      </c>
      <c r="P17" s="6" t="s">
        <v>66</v>
      </c>
      <c r="Q17" s="6">
        <f t="shared" si="2"/>
        <v>-0.66</v>
      </c>
      <c r="R17" s="6" t="s">
        <v>67</v>
      </c>
      <c r="S17" s="6">
        <f t="shared" si="3"/>
        <v>0.33</v>
      </c>
      <c r="T17" s="6" t="s">
        <v>67</v>
      </c>
      <c r="U17" s="6">
        <f t="shared" si="4"/>
        <v>-0.33</v>
      </c>
      <c r="V17" s="6" t="s">
        <v>67</v>
      </c>
      <c r="W17" s="6">
        <f t="shared" si="5"/>
        <v>0.33</v>
      </c>
      <c r="X17" s="6" t="s">
        <v>66</v>
      </c>
      <c r="Y17" s="6">
        <f t="shared" si="6"/>
        <v>0.66</v>
      </c>
      <c r="Z17" s="6" t="s">
        <v>99</v>
      </c>
      <c r="AA17" s="6">
        <f t="shared" si="7"/>
        <v>0.33</v>
      </c>
      <c r="AB17" s="6">
        <f t="shared" si="8"/>
        <v>1.65</v>
      </c>
      <c r="AC17" s="6">
        <f t="shared" si="9"/>
        <v>1.85625</v>
      </c>
      <c r="AD17" s="6" t="s">
        <v>67</v>
      </c>
      <c r="AE17" s="6">
        <f t="shared" si="10"/>
        <v>0.33</v>
      </c>
      <c r="AF17" s="6" t="s">
        <v>66</v>
      </c>
      <c r="AG17" s="6">
        <f t="shared" si="11"/>
        <v>-0.66</v>
      </c>
      <c r="AH17" s="6" t="s">
        <v>66</v>
      </c>
      <c r="AI17" s="6">
        <f t="shared" si="12"/>
        <v>0.66</v>
      </c>
      <c r="AJ17" s="6" t="s">
        <v>69</v>
      </c>
      <c r="AK17" s="6">
        <f t="shared" si="13"/>
        <v>-0.66</v>
      </c>
      <c r="AL17" s="6" t="s">
        <v>65</v>
      </c>
      <c r="AM17" s="6">
        <f t="shared" si="14"/>
        <v>0.33</v>
      </c>
      <c r="AN17" s="6" t="s">
        <v>68</v>
      </c>
      <c r="AO17" s="6">
        <f t="shared" si="15"/>
        <v>1</v>
      </c>
      <c r="AP17" s="6" t="s">
        <v>67</v>
      </c>
      <c r="AQ17" s="6">
        <f t="shared" si="16"/>
        <v>-0.33</v>
      </c>
      <c r="AR17" s="6" t="s">
        <v>67</v>
      </c>
      <c r="AS17" s="6">
        <f t="shared" si="17"/>
        <v>0.33</v>
      </c>
      <c r="AT17" s="6" t="s">
        <v>68</v>
      </c>
      <c r="AU17" s="6">
        <f t="shared" si="18"/>
        <v>1</v>
      </c>
      <c r="AV17" s="6">
        <f t="shared" si="19"/>
        <v>2</v>
      </c>
      <c r="AW17" s="6" t="s">
        <v>67</v>
      </c>
      <c r="AX17" s="6" t="s">
        <v>67</v>
      </c>
      <c r="AY17" s="6" t="s">
        <v>65</v>
      </c>
      <c r="AZ17" s="6" t="s">
        <v>66</v>
      </c>
      <c r="BA17" s="6" t="s">
        <v>65</v>
      </c>
      <c r="BB17" s="6" t="s">
        <v>65</v>
      </c>
      <c r="BC17" s="6" t="s">
        <v>68</v>
      </c>
      <c r="BD17" s="6" t="s">
        <v>68</v>
      </c>
      <c r="BE17" s="6" t="s">
        <v>67</v>
      </c>
      <c r="BF17" s="6" t="s">
        <v>70</v>
      </c>
      <c r="BG17" s="6" t="s">
        <v>67</v>
      </c>
      <c r="BJ17" s="6" t="s">
        <v>71</v>
      </c>
      <c r="BX17" s="6" t="s">
        <v>104</v>
      </c>
      <c r="BY17" s="6" t="s">
        <v>104</v>
      </c>
      <c r="BZ17" s="6" t="s">
        <v>91</v>
      </c>
    </row>
    <row r="18" spans="1:78" x14ac:dyDescent="0.2">
      <c r="A18" s="4">
        <v>45547.897886388891</v>
      </c>
      <c r="B18" s="5" t="s">
        <v>113</v>
      </c>
      <c r="C18" s="6">
        <v>2003</v>
      </c>
      <c r="D18" s="6" t="s">
        <v>98</v>
      </c>
      <c r="E18" s="6" t="s">
        <v>60</v>
      </c>
      <c r="F18" s="6" t="s">
        <v>74</v>
      </c>
      <c r="G18" s="6" t="s">
        <v>94</v>
      </c>
      <c r="H18" s="6" t="s">
        <v>83</v>
      </c>
      <c r="I18" s="6" t="s">
        <v>76</v>
      </c>
      <c r="J18" s="6" t="s">
        <v>89</v>
      </c>
      <c r="K18" s="7" t="s">
        <v>152</v>
      </c>
      <c r="L18" s="6" t="s">
        <v>65</v>
      </c>
      <c r="M18" s="6">
        <f t="shared" si="0"/>
        <v>0.33</v>
      </c>
      <c r="N18" s="6" t="s">
        <v>69</v>
      </c>
      <c r="O18" s="6">
        <f t="shared" si="1"/>
        <v>-0.66</v>
      </c>
      <c r="P18" s="6" t="s">
        <v>66</v>
      </c>
      <c r="Q18" s="6">
        <f t="shared" si="2"/>
        <v>-0.66</v>
      </c>
      <c r="R18" s="6" t="s">
        <v>70</v>
      </c>
      <c r="S18" s="6">
        <f t="shared" si="3"/>
        <v>1</v>
      </c>
      <c r="T18" s="6" t="s">
        <v>67</v>
      </c>
      <c r="U18" s="6">
        <f t="shared" si="4"/>
        <v>-0.33</v>
      </c>
      <c r="V18" s="6" t="s">
        <v>70</v>
      </c>
      <c r="W18" s="6">
        <f t="shared" si="5"/>
        <v>1</v>
      </c>
      <c r="X18" s="6" t="s">
        <v>66</v>
      </c>
      <c r="Y18" s="6">
        <f t="shared" si="6"/>
        <v>0.66</v>
      </c>
      <c r="Z18" s="6" t="s">
        <v>69</v>
      </c>
      <c r="AA18" s="6">
        <f t="shared" si="7"/>
        <v>-0.66</v>
      </c>
      <c r="AB18" s="6">
        <f t="shared" si="8"/>
        <v>0.67999999999999972</v>
      </c>
      <c r="AC18" s="6">
        <f t="shared" si="9"/>
        <v>0.76499999999999968</v>
      </c>
      <c r="AD18" s="6" t="s">
        <v>70</v>
      </c>
      <c r="AE18" s="6">
        <f t="shared" si="10"/>
        <v>1</v>
      </c>
      <c r="AF18" s="6" t="s">
        <v>70</v>
      </c>
      <c r="AG18" s="6">
        <f t="shared" si="11"/>
        <v>-1</v>
      </c>
      <c r="AH18" s="6" t="s">
        <v>67</v>
      </c>
      <c r="AI18" s="6">
        <f t="shared" si="12"/>
        <v>0.33</v>
      </c>
      <c r="AJ18" s="6" t="s">
        <v>68</v>
      </c>
      <c r="AK18" s="6">
        <f t="shared" si="13"/>
        <v>-1</v>
      </c>
      <c r="AL18" s="6" t="s">
        <v>65</v>
      </c>
      <c r="AM18" s="6">
        <f t="shared" si="14"/>
        <v>0.33</v>
      </c>
      <c r="AN18" s="6" t="s">
        <v>68</v>
      </c>
      <c r="AO18" s="6">
        <f t="shared" si="15"/>
        <v>1</v>
      </c>
      <c r="AP18" s="6" t="s">
        <v>68</v>
      </c>
      <c r="AQ18" s="6">
        <f t="shared" si="16"/>
        <v>1</v>
      </c>
      <c r="AR18" s="6" t="s">
        <v>65</v>
      </c>
      <c r="AS18" s="6">
        <f t="shared" si="17"/>
        <v>-0.33</v>
      </c>
      <c r="AT18" s="6" t="s">
        <v>69</v>
      </c>
      <c r="AU18" s="6">
        <f t="shared" si="18"/>
        <v>0.66</v>
      </c>
      <c r="AV18" s="6">
        <f t="shared" si="19"/>
        <v>1.9900000000000002</v>
      </c>
      <c r="AW18" s="6" t="s">
        <v>65</v>
      </c>
      <c r="AX18" s="6" t="s">
        <v>66</v>
      </c>
      <c r="AY18" s="6" t="s">
        <v>68</v>
      </c>
      <c r="AZ18" s="6" t="s">
        <v>66</v>
      </c>
      <c r="BA18" s="6" t="s">
        <v>67</v>
      </c>
      <c r="BB18" s="6" t="s">
        <v>67</v>
      </c>
      <c r="BC18" s="6" t="s">
        <v>67</v>
      </c>
      <c r="BD18" s="6" t="s">
        <v>70</v>
      </c>
      <c r="BE18" s="6" t="s">
        <v>66</v>
      </c>
      <c r="BF18" s="6" t="s">
        <v>65</v>
      </c>
      <c r="BG18" s="6" t="s">
        <v>66</v>
      </c>
      <c r="BH18" s="6" t="s">
        <v>71</v>
      </c>
      <c r="BL18" s="6" t="s">
        <v>71</v>
      </c>
      <c r="BM18" s="6" t="s">
        <v>71</v>
      </c>
      <c r="BX18" s="6" t="s">
        <v>91</v>
      </c>
      <c r="BY18" s="6" t="s">
        <v>91</v>
      </c>
      <c r="BZ18" s="6" t="s">
        <v>91</v>
      </c>
    </row>
    <row r="19" spans="1:78" x14ac:dyDescent="0.2">
      <c r="A19" s="4">
        <v>45547.901113668981</v>
      </c>
      <c r="B19" s="5" t="s">
        <v>114</v>
      </c>
      <c r="C19" s="6">
        <v>2002</v>
      </c>
      <c r="D19" s="6" t="s">
        <v>80</v>
      </c>
      <c r="E19" s="6" t="s">
        <v>60</v>
      </c>
      <c r="F19" s="6" t="s">
        <v>61</v>
      </c>
      <c r="G19" s="6" t="s">
        <v>61</v>
      </c>
      <c r="H19" s="6" t="s">
        <v>83</v>
      </c>
      <c r="I19" s="6" t="s">
        <v>76</v>
      </c>
      <c r="J19" s="6" t="s">
        <v>77</v>
      </c>
      <c r="K19" s="7" t="s">
        <v>152</v>
      </c>
      <c r="L19" s="6" t="s">
        <v>69</v>
      </c>
      <c r="M19" s="6">
        <f t="shared" si="0"/>
        <v>0.66</v>
      </c>
      <c r="N19" s="6" t="s">
        <v>67</v>
      </c>
      <c r="O19" s="6">
        <f t="shared" si="1"/>
        <v>0.33</v>
      </c>
      <c r="P19" s="6" t="s">
        <v>66</v>
      </c>
      <c r="Q19" s="6">
        <f t="shared" si="2"/>
        <v>-0.66</v>
      </c>
      <c r="R19" s="6" t="s">
        <v>70</v>
      </c>
      <c r="S19" s="6">
        <f t="shared" si="3"/>
        <v>1</v>
      </c>
      <c r="T19" s="6" t="s">
        <v>69</v>
      </c>
      <c r="U19" s="6">
        <f t="shared" si="4"/>
        <v>0.66</v>
      </c>
      <c r="V19" s="6" t="s">
        <v>66</v>
      </c>
      <c r="W19" s="6">
        <f t="shared" si="5"/>
        <v>0.66</v>
      </c>
      <c r="X19" s="6" t="s">
        <v>67</v>
      </c>
      <c r="Y19" s="6">
        <f t="shared" si="6"/>
        <v>0.33</v>
      </c>
      <c r="Z19" s="6" t="s">
        <v>65</v>
      </c>
      <c r="AA19" s="6">
        <f t="shared" si="7"/>
        <v>-0.33</v>
      </c>
      <c r="AB19" s="6">
        <f t="shared" si="8"/>
        <v>2.6500000000000004</v>
      </c>
      <c r="AC19" s="6">
        <f t="shared" si="9"/>
        <v>2.9812500000000002</v>
      </c>
      <c r="AD19" s="6" t="s">
        <v>68</v>
      </c>
      <c r="AE19" s="6">
        <f t="shared" si="10"/>
        <v>-1</v>
      </c>
      <c r="AF19" s="6" t="s">
        <v>66</v>
      </c>
      <c r="AG19" s="6">
        <f t="shared" si="11"/>
        <v>-0.66</v>
      </c>
      <c r="AH19" s="6" t="s">
        <v>65</v>
      </c>
      <c r="AI19" s="6">
        <f t="shared" si="12"/>
        <v>-0.33</v>
      </c>
      <c r="AJ19" s="6" t="s">
        <v>67</v>
      </c>
      <c r="AK19" s="6">
        <f t="shared" si="13"/>
        <v>0.33</v>
      </c>
      <c r="AL19" s="6" t="s">
        <v>66</v>
      </c>
      <c r="AM19" s="6">
        <f t="shared" si="14"/>
        <v>-0.66</v>
      </c>
      <c r="AN19" s="6" t="s">
        <v>68</v>
      </c>
      <c r="AO19" s="6">
        <f t="shared" si="15"/>
        <v>1</v>
      </c>
      <c r="AP19" s="6" t="s">
        <v>69</v>
      </c>
      <c r="AQ19" s="6">
        <f t="shared" si="16"/>
        <v>0.66</v>
      </c>
      <c r="AR19" s="6" t="s">
        <v>66</v>
      </c>
      <c r="AS19" s="6">
        <f t="shared" si="17"/>
        <v>0.66</v>
      </c>
      <c r="AT19" s="6" t="s">
        <v>65</v>
      </c>
      <c r="AU19" s="6">
        <f t="shared" si="18"/>
        <v>0.33</v>
      </c>
      <c r="AV19" s="6">
        <f t="shared" si="19"/>
        <v>0.32999999999999963</v>
      </c>
      <c r="AW19" s="6" t="s">
        <v>66</v>
      </c>
      <c r="AX19" s="6" t="s">
        <v>66</v>
      </c>
      <c r="AY19" s="6" t="s">
        <v>66</v>
      </c>
      <c r="AZ19" s="6" t="s">
        <v>66</v>
      </c>
      <c r="BA19" s="6" t="s">
        <v>67</v>
      </c>
      <c r="BB19" s="6" t="s">
        <v>65</v>
      </c>
      <c r="BC19" s="6" t="s">
        <v>65</v>
      </c>
      <c r="BD19" s="6" t="s">
        <v>67</v>
      </c>
      <c r="BE19" s="6" t="s">
        <v>66</v>
      </c>
      <c r="BF19" s="6" t="s">
        <v>66</v>
      </c>
      <c r="BG19" s="6" t="s">
        <v>66</v>
      </c>
      <c r="BH19" s="6" t="s">
        <v>71</v>
      </c>
      <c r="BM19" s="6" t="s">
        <v>71</v>
      </c>
      <c r="BX19" s="6" t="s">
        <v>87</v>
      </c>
      <c r="BY19" s="6" t="s">
        <v>87</v>
      </c>
      <c r="BZ19" s="6" t="s">
        <v>91</v>
      </c>
    </row>
    <row r="20" spans="1:78" x14ac:dyDescent="0.2">
      <c r="A20" s="4">
        <v>45547.899490775468</v>
      </c>
      <c r="B20" s="5" t="s">
        <v>115</v>
      </c>
      <c r="C20" s="6">
        <v>1997</v>
      </c>
      <c r="D20" s="6" t="s">
        <v>59</v>
      </c>
      <c r="E20" s="6" t="s">
        <v>60</v>
      </c>
      <c r="F20" s="6" t="s">
        <v>61</v>
      </c>
      <c r="G20" s="6" t="s">
        <v>74</v>
      </c>
      <c r="H20" s="6" t="s">
        <v>83</v>
      </c>
      <c r="I20" s="6" t="s">
        <v>63</v>
      </c>
      <c r="J20" s="6" t="s">
        <v>64</v>
      </c>
      <c r="K20" s="7" t="s">
        <v>152</v>
      </c>
      <c r="L20" s="6" t="s">
        <v>68</v>
      </c>
      <c r="M20" s="6">
        <f t="shared" si="0"/>
        <v>1</v>
      </c>
      <c r="N20" s="6" t="s">
        <v>66</v>
      </c>
      <c r="O20" s="6">
        <f t="shared" si="1"/>
        <v>0.66</v>
      </c>
      <c r="P20" s="6" t="s">
        <v>70</v>
      </c>
      <c r="Q20" s="6">
        <f t="shared" si="2"/>
        <v>-1</v>
      </c>
      <c r="R20" s="6" t="s">
        <v>70</v>
      </c>
      <c r="S20" s="6">
        <f t="shared" si="3"/>
        <v>1</v>
      </c>
      <c r="T20" s="6" t="s">
        <v>68</v>
      </c>
      <c r="U20" s="6">
        <f t="shared" si="4"/>
        <v>1</v>
      </c>
      <c r="V20" s="6" t="s">
        <v>70</v>
      </c>
      <c r="W20" s="6">
        <f t="shared" si="5"/>
        <v>1</v>
      </c>
      <c r="X20" s="6" t="s">
        <v>69</v>
      </c>
      <c r="Y20" s="6">
        <f t="shared" si="6"/>
        <v>-0.66</v>
      </c>
      <c r="Z20" s="6" t="s">
        <v>69</v>
      </c>
      <c r="AA20" s="6">
        <f t="shared" si="7"/>
        <v>-0.66</v>
      </c>
      <c r="AB20" s="6">
        <f t="shared" si="8"/>
        <v>2.34</v>
      </c>
      <c r="AC20" s="6">
        <f t="shared" si="9"/>
        <v>2.6324999999999998</v>
      </c>
      <c r="AD20" s="6" t="s">
        <v>68</v>
      </c>
      <c r="AE20" s="6">
        <f t="shared" si="10"/>
        <v>-1</v>
      </c>
      <c r="AF20" s="6" t="s">
        <v>70</v>
      </c>
      <c r="AG20" s="6">
        <f t="shared" si="11"/>
        <v>-1</v>
      </c>
      <c r="AH20" s="6" t="s">
        <v>69</v>
      </c>
      <c r="AI20" s="6">
        <f t="shared" si="12"/>
        <v>-0.66</v>
      </c>
      <c r="AJ20" s="6" t="s">
        <v>68</v>
      </c>
      <c r="AK20" s="6">
        <f t="shared" si="13"/>
        <v>-1</v>
      </c>
      <c r="AL20" s="6" t="s">
        <v>67</v>
      </c>
      <c r="AM20" s="6">
        <f t="shared" si="14"/>
        <v>-0.33</v>
      </c>
      <c r="AN20" s="6" t="s">
        <v>68</v>
      </c>
      <c r="AO20" s="6">
        <f t="shared" si="15"/>
        <v>1</v>
      </c>
      <c r="AP20" s="6" t="s">
        <v>70</v>
      </c>
      <c r="AQ20" s="6">
        <f t="shared" si="16"/>
        <v>-1</v>
      </c>
      <c r="AR20" s="6" t="s">
        <v>70</v>
      </c>
      <c r="AS20" s="6">
        <f t="shared" si="17"/>
        <v>1</v>
      </c>
      <c r="AT20" s="6" t="s">
        <v>68</v>
      </c>
      <c r="AU20" s="6">
        <f t="shared" si="18"/>
        <v>1</v>
      </c>
      <c r="AV20" s="6">
        <f t="shared" si="19"/>
        <v>-1.9900000000000002</v>
      </c>
      <c r="AW20" s="6" t="s">
        <v>70</v>
      </c>
      <c r="AX20" s="6" t="s">
        <v>66</v>
      </c>
      <c r="AY20" s="6" t="s">
        <v>68</v>
      </c>
      <c r="AZ20" s="6" t="s">
        <v>68</v>
      </c>
      <c r="BA20" s="6" t="s">
        <v>68</v>
      </c>
      <c r="BB20" s="6" t="s">
        <v>68</v>
      </c>
      <c r="BC20" s="6" t="s">
        <v>68</v>
      </c>
      <c r="BD20" s="6" t="s">
        <v>68</v>
      </c>
      <c r="BE20" s="6" t="s">
        <v>68</v>
      </c>
      <c r="BF20" s="6" t="s">
        <v>70</v>
      </c>
      <c r="BG20" s="6" t="s">
        <v>70</v>
      </c>
      <c r="BH20" s="6" t="s">
        <v>71</v>
      </c>
      <c r="BM20" s="6" t="s">
        <v>71</v>
      </c>
      <c r="BX20" s="6" t="s">
        <v>104</v>
      </c>
      <c r="BY20" s="6" t="s">
        <v>104</v>
      </c>
      <c r="BZ20" s="6" t="s">
        <v>91</v>
      </c>
    </row>
    <row r="21" spans="1:78" x14ac:dyDescent="0.2">
      <c r="A21" s="4">
        <v>45547.89947956019</v>
      </c>
      <c r="B21" s="5" t="s">
        <v>116</v>
      </c>
      <c r="C21" s="6">
        <v>2000</v>
      </c>
      <c r="D21" s="6" t="s">
        <v>80</v>
      </c>
      <c r="E21" s="6" t="s">
        <v>60</v>
      </c>
      <c r="F21" s="6" t="s">
        <v>74</v>
      </c>
      <c r="G21" s="6" t="s">
        <v>61</v>
      </c>
      <c r="H21" s="6" t="s">
        <v>83</v>
      </c>
      <c r="I21" s="6" t="s">
        <v>76</v>
      </c>
      <c r="J21" s="6" t="s">
        <v>77</v>
      </c>
      <c r="K21" s="7" t="s">
        <v>152</v>
      </c>
      <c r="L21" s="6" t="s">
        <v>65</v>
      </c>
      <c r="M21" s="6">
        <f t="shared" si="0"/>
        <v>0.33</v>
      </c>
      <c r="N21" s="6" t="s">
        <v>65</v>
      </c>
      <c r="O21" s="6">
        <f t="shared" si="1"/>
        <v>-0.33</v>
      </c>
      <c r="P21" s="6" t="s">
        <v>66</v>
      </c>
      <c r="Q21" s="6">
        <f t="shared" si="2"/>
        <v>-0.66</v>
      </c>
      <c r="R21" s="6" t="s">
        <v>66</v>
      </c>
      <c r="S21" s="6">
        <f t="shared" si="3"/>
        <v>0.66</v>
      </c>
      <c r="T21" s="6" t="s">
        <v>67</v>
      </c>
      <c r="U21" s="6">
        <f t="shared" si="4"/>
        <v>-0.33</v>
      </c>
      <c r="V21" s="6" t="s">
        <v>65</v>
      </c>
      <c r="W21" s="6">
        <f t="shared" si="5"/>
        <v>-0.33</v>
      </c>
      <c r="X21" s="6" t="s">
        <v>67</v>
      </c>
      <c r="Y21" s="6">
        <f t="shared" si="6"/>
        <v>0.33</v>
      </c>
      <c r="Z21" s="6" t="s">
        <v>69</v>
      </c>
      <c r="AA21" s="6">
        <f t="shared" si="7"/>
        <v>-0.66</v>
      </c>
      <c r="AB21" s="6">
        <f t="shared" si="8"/>
        <v>-0.99</v>
      </c>
      <c r="AC21" s="6">
        <f t="shared" si="9"/>
        <v>-1.11375</v>
      </c>
      <c r="AD21" s="6" t="s">
        <v>69</v>
      </c>
      <c r="AE21" s="6">
        <f t="shared" si="10"/>
        <v>-0.66</v>
      </c>
      <c r="AF21" s="6" t="s">
        <v>65</v>
      </c>
      <c r="AG21" s="6">
        <f t="shared" si="11"/>
        <v>0.33</v>
      </c>
      <c r="AH21" s="6" t="s">
        <v>65</v>
      </c>
      <c r="AI21" s="6">
        <f t="shared" si="12"/>
        <v>-0.33</v>
      </c>
      <c r="AJ21" s="6" t="s">
        <v>68</v>
      </c>
      <c r="AK21" s="6">
        <f t="shared" si="13"/>
        <v>-1</v>
      </c>
      <c r="AL21" s="6" t="s">
        <v>66</v>
      </c>
      <c r="AM21" s="6">
        <f t="shared" si="14"/>
        <v>-0.66</v>
      </c>
      <c r="AN21" s="6" t="s">
        <v>67</v>
      </c>
      <c r="AO21" s="6">
        <f t="shared" si="15"/>
        <v>-0.33</v>
      </c>
      <c r="AP21" s="6" t="s">
        <v>69</v>
      </c>
      <c r="AQ21" s="6">
        <f t="shared" si="16"/>
        <v>0.66</v>
      </c>
      <c r="AR21" s="6" t="s">
        <v>66</v>
      </c>
      <c r="AS21" s="6">
        <f t="shared" si="17"/>
        <v>0.66</v>
      </c>
      <c r="AT21" s="6" t="s">
        <v>67</v>
      </c>
      <c r="AU21" s="6">
        <f t="shared" si="18"/>
        <v>-0.33</v>
      </c>
      <c r="AV21" s="6">
        <f t="shared" si="19"/>
        <v>-1.6600000000000001</v>
      </c>
      <c r="AW21" s="6" t="s">
        <v>65</v>
      </c>
      <c r="AX21" s="6" t="s">
        <v>66</v>
      </c>
      <c r="AY21" s="6" t="s">
        <v>69</v>
      </c>
      <c r="AZ21" s="6" t="s">
        <v>67</v>
      </c>
      <c r="BA21" s="6" t="s">
        <v>69</v>
      </c>
      <c r="BB21" s="6" t="s">
        <v>69</v>
      </c>
      <c r="BC21" s="6" t="s">
        <v>69</v>
      </c>
      <c r="BD21" s="6" t="s">
        <v>69</v>
      </c>
      <c r="BE21" s="6" t="s">
        <v>66</v>
      </c>
      <c r="BF21" s="6" t="s">
        <v>67</v>
      </c>
      <c r="BG21" s="6" t="s">
        <v>65</v>
      </c>
      <c r="BJ21" s="6" t="s">
        <v>71</v>
      </c>
      <c r="BX21" s="6" t="s">
        <v>102</v>
      </c>
      <c r="BY21" s="6" t="s">
        <v>72</v>
      </c>
      <c r="BZ21" s="6" t="s">
        <v>72</v>
      </c>
    </row>
    <row r="22" spans="1:78" x14ac:dyDescent="0.2">
      <c r="A22" s="4">
        <v>45547.902482291669</v>
      </c>
      <c r="B22" s="5" t="s">
        <v>117</v>
      </c>
      <c r="C22" s="6">
        <v>2002</v>
      </c>
      <c r="D22" s="6" t="s">
        <v>80</v>
      </c>
      <c r="E22" s="6" t="s">
        <v>85</v>
      </c>
      <c r="F22" s="6" t="s">
        <v>93</v>
      </c>
      <c r="G22" s="6" t="s">
        <v>118</v>
      </c>
      <c r="H22" s="6" t="s">
        <v>75</v>
      </c>
      <c r="I22" s="6" t="s">
        <v>76</v>
      </c>
      <c r="J22" s="6" t="s">
        <v>89</v>
      </c>
      <c r="K22" s="7" t="s">
        <v>152</v>
      </c>
      <c r="L22" s="6" t="s">
        <v>67</v>
      </c>
      <c r="M22" s="6">
        <f t="shared" si="0"/>
        <v>-0.33</v>
      </c>
      <c r="N22" s="6" t="s">
        <v>65</v>
      </c>
      <c r="O22" s="6">
        <f t="shared" si="1"/>
        <v>-0.33</v>
      </c>
      <c r="P22" s="6" t="s">
        <v>67</v>
      </c>
      <c r="Q22" s="6">
        <f t="shared" si="2"/>
        <v>-0.33</v>
      </c>
      <c r="R22" s="6" t="s">
        <v>66</v>
      </c>
      <c r="S22" s="6">
        <f t="shared" si="3"/>
        <v>0.66</v>
      </c>
      <c r="T22" s="6" t="s">
        <v>69</v>
      </c>
      <c r="U22" s="6">
        <f t="shared" si="4"/>
        <v>0.66</v>
      </c>
      <c r="V22" s="6" t="s">
        <v>66</v>
      </c>
      <c r="W22" s="6">
        <f t="shared" si="5"/>
        <v>0.66</v>
      </c>
      <c r="X22" s="6" t="s">
        <v>70</v>
      </c>
      <c r="Y22" s="6">
        <f t="shared" si="6"/>
        <v>1</v>
      </c>
      <c r="Z22" s="6" t="s">
        <v>69</v>
      </c>
      <c r="AA22" s="6">
        <f t="shared" si="7"/>
        <v>-0.66</v>
      </c>
      <c r="AB22" s="6">
        <f t="shared" si="8"/>
        <v>1.33</v>
      </c>
      <c r="AC22" s="6">
        <f t="shared" si="9"/>
        <v>1.4962500000000001</v>
      </c>
      <c r="AD22" s="6" t="s">
        <v>65</v>
      </c>
      <c r="AE22" s="6">
        <f t="shared" si="10"/>
        <v>-0.33</v>
      </c>
      <c r="AF22" s="6" t="s">
        <v>66</v>
      </c>
      <c r="AG22" s="6">
        <f t="shared" si="11"/>
        <v>-0.66</v>
      </c>
      <c r="AH22" s="6" t="s">
        <v>68</v>
      </c>
      <c r="AI22" s="6">
        <f t="shared" si="12"/>
        <v>-1</v>
      </c>
      <c r="AJ22" s="6" t="s">
        <v>68</v>
      </c>
      <c r="AK22" s="6">
        <f t="shared" si="13"/>
        <v>-1</v>
      </c>
      <c r="AL22" s="6" t="s">
        <v>66</v>
      </c>
      <c r="AM22" s="6">
        <f t="shared" si="14"/>
        <v>-0.66</v>
      </c>
      <c r="AN22" s="6" t="s">
        <v>65</v>
      </c>
      <c r="AO22" s="6">
        <f t="shared" si="15"/>
        <v>0.33</v>
      </c>
      <c r="AP22" s="6" t="s">
        <v>65</v>
      </c>
      <c r="AQ22" s="6">
        <f t="shared" si="16"/>
        <v>0.33</v>
      </c>
      <c r="AR22" s="6" t="s">
        <v>66</v>
      </c>
      <c r="AS22" s="6">
        <f t="shared" si="17"/>
        <v>0.66</v>
      </c>
      <c r="AT22" s="6" t="s">
        <v>69</v>
      </c>
      <c r="AU22" s="6">
        <f t="shared" si="18"/>
        <v>0.66</v>
      </c>
      <c r="AV22" s="6">
        <f t="shared" si="19"/>
        <v>-1.67</v>
      </c>
      <c r="AW22" s="6" t="s">
        <v>66</v>
      </c>
      <c r="AX22" s="6" t="s">
        <v>66</v>
      </c>
      <c r="AY22" s="6" t="s">
        <v>65</v>
      </c>
      <c r="AZ22" s="6" t="s">
        <v>67</v>
      </c>
      <c r="BA22" s="6" t="s">
        <v>68</v>
      </c>
      <c r="BB22" s="6" t="s">
        <v>68</v>
      </c>
      <c r="BC22" s="6" t="s">
        <v>68</v>
      </c>
      <c r="BD22" s="6" t="s">
        <v>69</v>
      </c>
      <c r="BE22" s="6" t="s">
        <v>66</v>
      </c>
      <c r="BF22" s="6" t="s">
        <v>66</v>
      </c>
      <c r="BG22" s="6" t="s">
        <v>70</v>
      </c>
      <c r="BJ22" s="6" t="s">
        <v>71</v>
      </c>
      <c r="BU22" s="6" t="s">
        <v>71</v>
      </c>
      <c r="BV22" s="6" t="s">
        <v>71</v>
      </c>
      <c r="BX22" s="6" t="s">
        <v>90</v>
      </c>
      <c r="BY22" s="6" t="s">
        <v>104</v>
      </c>
      <c r="BZ22" s="6" t="s">
        <v>91</v>
      </c>
    </row>
    <row r="23" spans="1:78" x14ac:dyDescent="0.2">
      <c r="A23" s="4">
        <v>45547.901809155097</v>
      </c>
      <c r="B23" s="5" t="s">
        <v>119</v>
      </c>
      <c r="C23" s="6">
        <v>2002</v>
      </c>
      <c r="D23" s="6" t="s">
        <v>80</v>
      </c>
      <c r="E23" s="6" t="s">
        <v>60</v>
      </c>
      <c r="F23" s="6" t="s">
        <v>61</v>
      </c>
      <c r="G23" s="6" t="s">
        <v>61</v>
      </c>
      <c r="H23" s="6" t="s">
        <v>83</v>
      </c>
      <c r="I23" s="6" t="s">
        <v>76</v>
      </c>
      <c r="J23" s="6" t="s">
        <v>77</v>
      </c>
      <c r="K23" s="7" t="s">
        <v>152</v>
      </c>
      <c r="L23" s="6" t="s">
        <v>67</v>
      </c>
      <c r="M23" s="6">
        <f t="shared" si="0"/>
        <v>-0.33</v>
      </c>
      <c r="N23" s="6" t="s">
        <v>67</v>
      </c>
      <c r="O23" s="6">
        <f t="shared" si="1"/>
        <v>0.33</v>
      </c>
      <c r="P23" s="6" t="s">
        <v>70</v>
      </c>
      <c r="Q23" s="6">
        <f t="shared" si="2"/>
        <v>-1</v>
      </c>
      <c r="R23" s="6" t="s">
        <v>66</v>
      </c>
      <c r="S23" s="6">
        <f t="shared" si="3"/>
        <v>0.66</v>
      </c>
      <c r="T23" s="6" t="s">
        <v>66</v>
      </c>
      <c r="U23" s="6">
        <f t="shared" si="4"/>
        <v>-0.66</v>
      </c>
      <c r="V23" s="6" t="s">
        <v>67</v>
      </c>
      <c r="W23" s="6">
        <f t="shared" si="5"/>
        <v>0.33</v>
      </c>
      <c r="X23" s="6" t="s">
        <v>67</v>
      </c>
      <c r="Y23" s="6">
        <f t="shared" si="6"/>
        <v>0.33</v>
      </c>
      <c r="Z23" s="6" t="s">
        <v>65</v>
      </c>
      <c r="AA23" s="6">
        <f t="shared" si="7"/>
        <v>-0.33</v>
      </c>
      <c r="AB23" s="6">
        <f t="shared" si="8"/>
        <v>-0.66999999999999993</v>
      </c>
      <c r="AC23" s="6">
        <f t="shared" si="9"/>
        <v>-0.75374999999999992</v>
      </c>
      <c r="AD23" s="6" t="s">
        <v>69</v>
      </c>
      <c r="AE23" s="6">
        <f t="shared" si="10"/>
        <v>-0.66</v>
      </c>
      <c r="AF23" s="6" t="s">
        <v>69</v>
      </c>
      <c r="AG23" s="6">
        <f t="shared" si="11"/>
        <v>0.66</v>
      </c>
      <c r="AH23" s="6" t="s">
        <v>67</v>
      </c>
      <c r="AI23" s="6">
        <f t="shared" si="12"/>
        <v>0.33</v>
      </c>
      <c r="AJ23" s="6" t="s">
        <v>67</v>
      </c>
      <c r="AK23" s="6">
        <f t="shared" si="13"/>
        <v>0.33</v>
      </c>
      <c r="AL23" s="6" t="s">
        <v>65</v>
      </c>
      <c r="AM23" s="6">
        <f t="shared" si="14"/>
        <v>0.33</v>
      </c>
      <c r="AN23" s="6" t="s">
        <v>65</v>
      </c>
      <c r="AO23" s="6">
        <f t="shared" si="15"/>
        <v>0.33</v>
      </c>
      <c r="AP23" s="6" t="s">
        <v>65</v>
      </c>
      <c r="AQ23" s="6">
        <f t="shared" si="16"/>
        <v>0.33</v>
      </c>
      <c r="AR23" s="6" t="s">
        <v>67</v>
      </c>
      <c r="AS23" s="6">
        <f t="shared" si="17"/>
        <v>0.33</v>
      </c>
      <c r="AT23" s="6" t="s">
        <v>68</v>
      </c>
      <c r="AU23" s="6">
        <f t="shared" si="18"/>
        <v>1</v>
      </c>
      <c r="AV23" s="6">
        <f t="shared" si="19"/>
        <v>2.9800000000000004</v>
      </c>
      <c r="AW23" s="6" t="s">
        <v>65</v>
      </c>
      <c r="AX23" s="6" t="s">
        <v>66</v>
      </c>
      <c r="AY23" s="6" t="s">
        <v>68</v>
      </c>
      <c r="AZ23" s="6" t="s">
        <v>68</v>
      </c>
      <c r="BA23" s="6" t="s">
        <v>68</v>
      </c>
      <c r="BB23" s="6" t="s">
        <v>67</v>
      </c>
      <c r="BC23" s="6" t="s">
        <v>67</v>
      </c>
      <c r="BD23" s="6" t="s">
        <v>67</v>
      </c>
      <c r="BE23" s="6" t="s">
        <v>68</v>
      </c>
      <c r="BF23" s="6" t="s">
        <v>68</v>
      </c>
      <c r="BG23" s="6" t="s">
        <v>69</v>
      </c>
      <c r="BL23" s="6" t="s">
        <v>71</v>
      </c>
      <c r="BX23" s="6" t="s">
        <v>91</v>
      </c>
      <c r="BY23" s="6" t="s">
        <v>91</v>
      </c>
      <c r="BZ23" s="6" t="s">
        <v>91</v>
      </c>
    </row>
    <row r="24" spans="1:78" x14ac:dyDescent="0.2">
      <c r="A24" s="4">
        <v>45547.900196527778</v>
      </c>
      <c r="B24" s="5" t="s">
        <v>120</v>
      </c>
      <c r="C24" s="6">
        <v>2000</v>
      </c>
      <c r="D24" s="6" t="s">
        <v>80</v>
      </c>
      <c r="E24" s="6" t="s">
        <v>85</v>
      </c>
      <c r="F24" s="6" t="s">
        <v>82</v>
      </c>
      <c r="G24" s="6" t="s">
        <v>61</v>
      </c>
      <c r="H24" s="6" t="s">
        <v>83</v>
      </c>
      <c r="I24" s="6" t="s">
        <v>76</v>
      </c>
      <c r="J24" s="6" t="s">
        <v>64</v>
      </c>
      <c r="K24" s="7" t="s">
        <v>152</v>
      </c>
      <c r="L24" s="6" t="s">
        <v>68</v>
      </c>
      <c r="M24" s="6">
        <f t="shared" si="0"/>
        <v>1</v>
      </c>
      <c r="N24" s="6" t="s">
        <v>68</v>
      </c>
      <c r="O24" s="6">
        <f t="shared" si="1"/>
        <v>-1</v>
      </c>
      <c r="P24" s="6" t="s">
        <v>70</v>
      </c>
      <c r="Q24" s="6">
        <f t="shared" si="2"/>
        <v>-1</v>
      </c>
      <c r="R24" s="6" t="s">
        <v>68</v>
      </c>
      <c r="S24" s="6">
        <f t="shared" si="3"/>
        <v>-1</v>
      </c>
      <c r="T24" s="6" t="s">
        <v>70</v>
      </c>
      <c r="U24" s="6">
        <f t="shared" si="4"/>
        <v>-1</v>
      </c>
      <c r="V24" s="6" t="s">
        <v>69</v>
      </c>
      <c r="W24" s="6">
        <f t="shared" si="5"/>
        <v>-0.66</v>
      </c>
      <c r="X24" s="6" t="s">
        <v>67</v>
      </c>
      <c r="Y24" s="6">
        <f t="shared" si="6"/>
        <v>0.33</v>
      </c>
      <c r="Z24" s="6" t="s">
        <v>68</v>
      </c>
      <c r="AA24" s="6">
        <f t="shared" si="7"/>
        <v>-1</v>
      </c>
      <c r="AB24" s="6">
        <f t="shared" si="8"/>
        <v>-4.33</v>
      </c>
      <c r="AC24" s="6">
        <f t="shared" si="9"/>
        <v>-4.8712499999999999</v>
      </c>
      <c r="AD24" s="6" t="s">
        <v>69</v>
      </c>
      <c r="AE24" s="6">
        <f t="shared" si="10"/>
        <v>-0.66</v>
      </c>
      <c r="AF24" s="6" t="s">
        <v>68</v>
      </c>
      <c r="AG24" s="6">
        <f t="shared" si="11"/>
        <v>1</v>
      </c>
      <c r="AH24" s="6" t="s">
        <v>68</v>
      </c>
      <c r="AI24" s="6">
        <f t="shared" si="12"/>
        <v>-1</v>
      </c>
      <c r="AJ24" s="6" t="s">
        <v>68</v>
      </c>
      <c r="AK24" s="6">
        <f t="shared" si="13"/>
        <v>-1</v>
      </c>
      <c r="AL24" s="6" t="s">
        <v>70</v>
      </c>
      <c r="AM24" s="6">
        <f t="shared" si="14"/>
        <v>-1</v>
      </c>
      <c r="AN24" s="6" t="s">
        <v>70</v>
      </c>
      <c r="AO24" s="6">
        <f t="shared" si="15"/>
        <v>-1</v>
      </c>
      <c r="AP24" s="6" t="s">
        <v>70</v>
      </c>
      <c r="AQ24" s="6">
        <f t="shared" si="16"/>
        <v>-1</v>
      </c>
      <c r="AR24" s="6" t="s">
        <v>68</v>
      </c>
      <c r="AS24" s="6">
        <f t="shared" si="17"/>
        <v>-1</v>
      </c>
      <c r="AT24" s="6" t="s">
        <v>68</v>
      </c>
      <c r="AU24" s="6">
        <f t="shared" si="18"/>
        <v>1</v>
      </c>
      <c r="AV24" s="6">
        <f t="shared" si="19"/>
        <v>-4.66</v>
      </c>
      <c r="AW24" s="6" t="s">
        <v>68</v>
      </c>
      <c r="AX24" s="6" t="s">
        <v>70</v>
      </c>
      <c r="AY24" s="6" t="s">
        <v>70</v>
      </c>
      <c r="AZ24" s="6" t="s">
        <v>67</v>
      </c>
      <c r="BA24" s="6" t="s">
        <v>67</v>
      </c>
      <c r="BB24" s="6" t="s">
        <v>65</v>
      </c>
      <c r="BC24" s="6" t="s">
        <v>69</v>
      </c>
      <c r="BD24" s="6" t="s">
        <v>68</v>
      </c>
      <c r="BE24" s="6" t="s">
        <v>70</v>
      </c>
      <c r="BF24" s="6" t="s">
        <v>70</v>
      </c>
      <c r="BG24" s="6" t="s">
        <v>68</v>
      </c>
      <c r="BJ24" s="6" t="s">
        <v>71</v>
      </c>
      <c r="BK24" s="6" t="s">
        <v>71</v>
      </c>
      <c r="BP24" s="6" t="s">
        <v>71</v>
      </c>
      <c r="BQ24" s="6" t="s">
        <v>71</v>
      </c>
      <c r="BU24" s="6" t="s">
        <v>71</v>
      </c>
      <c r="BX24" s="6" t="s">
        <v>121</v>
      </c>
      <c r="BY24" s="6" t="s">
        <v>72</v>
      </c>
      <c r="BZ24" s="6" t="s">
        <v>72</v>
      </c>
    </row>
    <row r="25" spans="1:78" x14ac:dyDescent="0.2">
      <c r="A25" s="4">
        <v>45547.900887152777</v>
      </c>
      <c r="B25" s="5" t="s">
        <v>122</v>
      </c>
      <c r="C25" s="6">
        <v>2003</v>
      </c>
      <c r="D25" s="6" t="s">
        <v>80</v>
      </c>
      <c r="E25" s="6" t="s">
        <v>85</v>
      </c>
      <c r="F25" s="6" t="s">
        <v>61</v>
      </c>
      <c r="G25" s="6" t="s">
        <v>94</v>
      </c>
      <c r="H25" s="6" t="s">
        <v>75</v>
      </c>
      <c r="I25" s="6" t="s">
        <v>76</v>
      </c>
      <c r="J25" s="6" t="s">
        <v>77</v>
      </c>
      <c r="K25" s="7" t="s">
        <v>152</v>
      </c>
      <c r="L25" s="6" t="s">
        <v>67</v>
      </c>
      <c r="M25" s="6">
        <f t="shared" si="0"/>
        <v>-0.33</v>
      </c>
      <c r="N25" s="6" t="s">
        <v>70</v>
      </c>
      <c r="O25" s="6">
        <f t="shared" si="1"/>
        <v>1</v>
      </c>
      <c r="P25" s="6" t="s">
        <v>66</v>
      </c>
      <c r="Q25" s="6">
        <f t="shared" si="2"/>
        <v>-0.66</v>
      </c>
      <c r="R25" s="6" t="s">
        <v>70</v>
      </c>
      <c r="S25" s="6">
        <f t="shared" si="3"/>
        <v>1</v>
      </c>
      <c r="T25" s="6" t="s">
        <v>69</v>
      </c>
      <c r="U25" s="6">
        <f t="shared" si="4"/>
        <v>0.66</v>
      </c>
      <c r="V25" s="6" t="s">
        <v>69</v>
      </c>
      <c r="W25" s="6">
        <f t="shared" si="5"/>
        <v>-0.66</v>
      </c>
      <c r="X25" s="6" t="s">
        <v>70</v>
      </c>
      <c r="Y25" s="6">
        <f t="shared" si="6"/>
        <v>1</v>
      </c>
      <c r="Z25" s="6" t="s">
        <v>66</v>
      </c>
      <c r="AA25" s="6">
        <f t="shared" si="7"/>
        <v>0.66</v>
      </c>
      <c r="AB25" s="6">
        <f t="shared" si="8"/>
        <v>2.67</v>
      </c>
      <c r="AC25" s="6">
        <f t="shared" si="9"/>
        <v>3.0037500000000001</v>
      </c>
      <c r="AD25" s="6" t="s">
        <v>67</v>
      </c>
      <c r="AE25" s="6">
        <f t="shared" si="10"/>
        <v>0.33</v>
      </c>
      <c r="AF25" s="6" t="s">
        <v>66</v>
      </c>
      <c r="AG25" s="6">
        <f t="shared" si="11"/>
        <v>-0.66</v>
      </c>
      <c r="AH25" s="6" t="s">
        <v>66</v>
      </c>
      <c r="AI25" s="6">
        <f t="shared" si="12"/>
        <v>0.66</v>
      </c>
      <c r="AJ25" s="6" t="s">
        <v>66</v>
      </c>
      <c r="AK25" s="6">
        <f t="shared" si="13"/>
        <v>0.66</v>
      </c>
      <c r="AL25" s="6" t="s">
        <v>67</v>
      </c>
      <c r="AM25" s="6">
        <f t="shared" si="14"/>
        <v>-0.33</v>
      </c>
      <c r="AN25" s="6" t="s">
        <v>68</v>
      </c>
      <c r="AO25" s="6">
        <f t="shared" si="15"/>
        <v>1</v>
      </c>
      <c r="AP25" s="6" t="s">
        <v>66</v>
      </c>
      <c r="AQ25" s="6">
        <f t="shared" si="16"/>
        <v>-0.66</v>
      </c>
      <c r="AR25" s="6" t="s">
        <v>70</v>
      </c>
      <c r="AS25" s="6">
        <f t="shared" si="17"/>
        <v>1</v>
      </c>
      <c r="AT25" s="6" t="s">
        <v>66</v>
      </c>
      <c r="AU25" s="6">
        <f t="shared" si="18"/>
        <v>-0.66</v>
      </c>
      <c r="AV25" s="6">
        <f t="shared" si="19"/>
        <v>1.3399999999999999</v>
      </c>
      <c r="AW25" s="6" t="s">
        <v>70</v>
      </c>
      <c r="AX25" s="6" t="s">
        <v>70</v>
      </c>
      <c r="AY25" s="6" t="s">
        <v>66</v>
      </c>
      <c r="AZ25" s="6" t="s">
        <v>69</v>
      </c>
      <c r="BA25" s="6" t="s">
        <v>69</v>
      </c>
      <c r="BB25" s="6" t="s">
        <v>65</v>
      </c>
      <c r="BC25" s="6" t="s">
        <v>67</v>
      </c>
      <c r="BD25" s="6" t="s">
        <v>66</v>
      </c>
      <c r="BE25" s="6" t="s">
        <v>67</v>
      </c>
      <c r="BF25" s="6" t="s">
        <v>66</v>
      </c>
      <c r="BG25" s="6" t="s">
        <v>66</v>
      </c>
      <c r="BH25" s="6" t="s">
        <v>71</v>
      </c>
      <c r="BM25" s="6" t="s">
        <v>71</v>
      </c>
      <c r="BR25" s="6" t="s">
        <v>71</v>
      </c>
      <c r="BX25" s="6" t="s">
        <v>91</v>
      </c>
      <c r="BY25" s="6" t="s">
        <v>91</v>
      </c>
      <c r="BZ25" s="6" t="s">
        <v>91</v>
      </c>
    </row>
    <row r="26" spans="1:78" x14ac:dyDescent="0.2">
      <c r="A26" s="4">
        <v>45547.900143368053</v>
      </c>
      <c r="B26" s="5" t="s">
        <v>123</v>
      </c>
      <c r="C26" s="6">
        <v>2002</v>
      </c>
      <c r="D26" s="6" t="s">
        <v>59</v>
      </c>
      <c r="E26" s="6" t="s">
        <v>60</v>
      </c>
      <c r="F26" s="6" t="s">
        <v>74</v>
      </c>
      <c r="G26" s="6" t="s">
        <v>74</v>
      </c>
      <c r="H26" s="6" t="s">
        <v>83</v>
      </c>
      <c r="I26" s="6" t="s">
        <v>76</v>
      </c>
      <c r="J26" s="6" t="s">
        <v>64</v>
      </c>
      <c r="K26" s="7" t="s">
        <v>152</v>
      </c>
      <c r="L26" s="6" t="s">
        <v>66</v>
      </c>
      <c r="M26" s="6">
        <f t="shared" si="0"/>
        <v>-0.66</v>
      </c>
      <c r="N26" s="6" t="s">
        <v>69</v>
      </c>
      <c r="O26" s="6">
        <f t="shared" si="1"/>
        <v>-0.66</v>
      </c>
      <c r="P26" s="6" t="s">
        <v>70</v>
      </c>
      <c r="Q26" s="6">
        <f t="shared" si="2"/>
        <v>-1</v>
      </c>
      <c r="R26" s="6" t="s">
        <v>67</v>
      </c>
      <c r="S26" s="6">
        <f t="shared" si="3"/>
        <v>0.33</v>
      </c>
      <c r="T26" s="6" t="s">
        <v>65</v>
      </c>
      <c r="U26" s="6">
        <f t="shared" si="4"/>
        <v>0.33</v>
      </c>
      <c r="V26" s="6" t="s">
        <v>67</v>
      </c>
      <c r="W26" s="6">
        <f t="shared" si="5"/>
        <v>0.33</v>
      </c>
      <c r="X26" s="6" t="s">
        <v>69</v>
      </c>
      <c r="Y26" s="6">
        <f t="shared" si="6"/>
        <v>-0.66</v>
      </c>
      <c r="Z26" s="6" t="s">
        <v>68</v>
      </c>
      <c r="AA26" s="6">
        <f t="shared" si="7"/>
        <v>-1</v>
      </c>
      <c r="AB26" s="6">
        <f t="shared" si="8"/>
        <v>-2.99</v>
      </c>
      <c r="AC26" s="6">
        <f t="shared" si="9"/>
        <v>-3.3637500000000005</v>
      </c>
      <c r="AD26" s="6" t="s">
        <v>68</v>
      </c>
      <c r="AE26" s="6">
        <f t="shared" si="10"/>
        <v>-1</v>
      </c>
      <c r="AF26" s="6" t="s">
        <v>66</v>
      </c>
      <c r="AG26" s="6">
        <f t="shared" si="11"/>
        <v>-0.66</v>
      </c>
      <c r="AH26" s="6" t="s">
        <v>65</v>
      </c>
      <c r="AI26" s="6">
        <f t="shared" si="12"/>
        <v>-0.33</v>
      </c>
      <c r="AJ26" s="6" t="s">
        <v>68</v>
      </c>
      <c r="AK26" s="6">
        <f t="shared" si="13"/>
        <v>-1</v>
      </c>
      <c r="AL26" s="6" t="s">
        <v>70</v>
      </c>
      <c r="AM26" s="6">
        <f t="shared" si="14"/>
        <v>-1</v>
      </c>
      <c r="AN26" s="6" t="s">
        <v>66</v>
      </c>
      <c r="AO26" s="6">
        <f t="shared" si="15"/>
        <v>-0.66</v>
      </c>
      <c r="AP26" s="6" t="s">
        <v>69</v>
      </c>
      <c r="AQ26" s="6">
        <f t="shared" si="16"/>
        <v>0.66</v>
      </c>
      <c r="AR26" s="6" t="s">
        <v>67</v>
      </c>
      <c r="AS26" s="6">
        <f t="shared" si="17"/>
        <v>0.33</v>
      </c>
      <c r="AT26" s="6" t="s">
        <v>68</v>
      </c>
      <c r="AU26" s="6">
        <f t="shared" si="18"/>
        <v>1</v>
      </c>
      <c r="AV26" s="6">
        <f t="shared" si="19"/>
        <v>-2.66</v>
      </c>
      <c r="AW26" s="6" t="s">
        <v>65</v>
      </c>
      <c r="AX26" s="6" t="s">
        <v>67</v>
      </c>
      <c r="AY26" s="6" t="s">
        <v>67</v>
      </c>
      <c r="AZ26" s="6" t="s">
        <v>66</v>
      </c>
      <c r="BA26" s="6" t="s">
        <v>67</v>
      </c>
      <c r="BB26" s="6" t="s">
        <v>65</v>
      </c>
      <c r="BC26" s="6" t="s">
        <v>65</v>
      </c>
      <c r="BD26" s="6" t="s">
        <v>65</v>
      </c>
      <c r="BE26" s="6" t="s">
        <v>69</v>
      </c>
      <c r="BF26" s="6" t="s">
        <v>70</v>
      </c>
      <c r="BG26" s="6" t="s">
        <v>68</v>
      </c>
      <c r="BJ26" s="6" t="s">
        <v>71</v>
      </c>
      <c r="BX26" s="6" t="s">
        <v>91</v>
      </c>
      <c r="BY26" s="6" t="s">
        <v>91</v>
      </c>
      <c r="BZ26" s="6" t="s">
        <v>91</v>
      </c>
    </row>
    <row r="27" spans="1:78" x14ac:dyDescent="0.2">
      <c r="A27" s="4">
        <v>45574.834450289352</v>
      </c>
      <c r="B27" s="5" t="s">
        <v>124</v>
      </c>
      <c r="C27" s="6">
        <v>2002</v>
      </c>
      <c r="D27" s="6" t="s">
        <v>59</v>
      </c>
      <c r="E27" s="6" t="s">
        <v>60</v>
      </c>
      <c r="F27" s="6" t="s">
        <v>93</v>
      </c>
      <c r="G27" s="6" t="s">
        <v>61</v>
      </c>
      <c r="H27" s="6" t="s">
        <v>110</v>
      </c>
      <c r="I27" s="6" t="s">
        <v>76</v>
      </c>
      <c r="J27" s="6" t="s">
        <v>89</v>
      </c>
      <c r="K27" s="7" t="s">
        <v>152</v>
      </c>
      <c r="L27" s="6" t="s">
        <v>65</v>
      </c>
      <c r="M27" s="6">
        <f t="shared" si="0"/>
        <v>0.33</v>
      </c>
      <c r="N27" s="6" t="s">
        <v>65</v>
      </c>
      <c r="O27" s="6">
        <f t="shared" si="1"/>
        <v>-0.33</v>
      </c>
      <c r="P27" s="6" t="s">
        <v>66</v>
      </c>
      <c r="Q27" s="6">
        <f t="shared" si="2"/>
        <v>-0.66</v>
      </c>
      <c r="R27" s="6" t="s">
        <v>65</v>
      </c>
      <c r="S27" s="6">
        <f t="shared" si="3"/>
        <v>-0.33</v>
      </c>
      <c r="T27" s="6" t="s">
        <v>65</v>
      </c>
      <c r="U27" s="6">
        <f t="shared" si="4"/>
        <v>0.33</v>
      </c>
      <c r="V27" s="6" t="s">
        <v>66</v>
      </c>
      <c r="W27" s="6">
        <f t="shared" si="5"/>
        <v>0.66</v>
      </c>
      <c r="X27" s="6" t="s">
        <v>67</v>
      </c>
      <c r="Y27" s="6">
        <f t="shared" si="6"/>
        <v>0.33</v>
      </c>
      <c r="Z27" s="6" t="s">
        <v>99</v>
      </c>
      <c r="AA27" s="6">
        <f t="shared" si="7"/>
        <v>0.33</v>
      </c>
      <c r="AB27" s="6">
        <f t="shared" si="8"/>
        <v>0.66</v>
      </c>
      <c r="AC27" s="6">
        <f>+AB27*AB$29</f>
        <v>0.74250000000000005</v>
      </c>
      <c r="AD27" s="6" t="s">
        <v>67</v>
      </c>
      <c r="AE27" s="6">
        <f t="shared" si="10"/>
        <v>0.33</v>
      </c>
      <c r="AF27" s="6" t="s">
        <v>65</v>
      </c>
      <c r="AG27" s="6">
        <f t="shared" si="11"/>
        <v>0.33</v>
      </c>
      <c r="AH27" s="6" t="s">
        <v>65</v>
      </c>
      <c r="AI27" s="6">
        <f t="shared" si="12"/>
        <v>-0.33</v>
      </c>
      <c r="AJ27" s="6" t="s">
        <v>65</v>
      </c>
      <c r="AK27" s="6">
        <f t="shared" si="13"/>
        <v>-0.33</v>
      </c>
      <c r="AL27" s="6" t="s">
        <v>66</v>
      </c>
      <c r="AM27" s="6">
        <f t="shared" si="14"/>
        <v>-0.66</v>
      </c>
      <c r="AN27" s="6" t="s">
        <v>65</v>
      </c>
      <c r="AO27" s="6">
        <f t="shared" si="15"/>
        <v>0.33</v>
      </c>
      <c r="AP27" s="6" t="s">
        <v>67</v>
      </c>
      <c r="AQ27" s="6">
        <f t="shared" si="16"/>
        <v>-0.33</v>
      </c>
      <c r="AR27" s="6" t="s">
        <v>67</v>
      </c>
      <c r="AS27" s="6">
        <f t="shared" si="17"/>
        <v>0.33</v>
      </c>
      <c r="AT27" s="6" t="s">
        <v>69</v>
      </c>
      <c r="AU27" s="6">
        <f t="shared" si="18"/>
        <v>0.66</v>
      </c>
      <c r="AV27" s="6">
        <f t="shared" si="19"/>
        <v>0.32999999999999996</v>
      </c>
      <c r="AW27" s="6" t="s">
        <v>66</v>
      </c>
      <c r="AX27" s="6" t="s">
        <v>65</v>
      </c>
      <c r="AY27" s="6" t="s">
        <v>67</v>
      </c>
      <c r="AZ27" s="6" t="s">
        <v>67</v>
      </c>
      <c r="BA27" s="6" t="s">
        <v>67</v>
      </c>
      <c r="BB27" s="6" t="s">
        <v>65</v>
      </c>
      <c r="BC27" s="6" t="s">
        <v>65</v>
      </c>
      <c r="BD27" s="6" t="s">
        <v>65</v>
      </c>
      <c r="BE27" s="6" t="s">
        <v>65</v>
      </c>
      <c r="BF27" s="6" t="s">
        <v>67</v>
      </c>
      <c r="BG27" s="6" t="s">
        <v>70</v>
      </c>
      <c r="BJ27" s="6" t="s">
        <v>71</v>
      </c>
      <c r="BX27" s="6" t="s">
        <v>125</v>
      </c>
      <c r="BY27" s="6" t="s">
        <v>86</v>
      </c>
      <c r="BZ27" s="6" t="s">
        <v>87</v>
      </c>
    </row>
    <row r="29" spans="1:78" ht="15.75" customHeight="1" x14ac:dyDescent="0.2">
      <c r="AB29" s="6">
        <f>9/8</f>
        <v>1.125</v>
      </c>
    </row>
  </sheetData>
  <mergeCells count="2">
    <mergeCell ref="L1:AC1"/>
    <mergeCell ref="AD1:A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0BB78-24D2-41C7-8667-0D8B159AFD18}">
  <dimension ref="A1:E26"/>
  <sheetViews>
    <sheetView topLeftCell="A4" workbookViewId="0">
      <selection sqref="A1:E26"/>
    </sheetView>
  </sheetViews>
  <sheetFormatPr baseColWidth="10" defaultRowHeight="12.75" x14ac:dyDescent="0.2"/>
  <cols>
    <col min="1" max="1" width="20.42578125" bestFit="1" customWidth="1"/>
    <col min="4" max="4" width="38" bestFit="1" customWidth="1"/>
    <col min="5" max="5" width="29.85546875" bestFit="1" customWidth="1"/>
  </cols>
  <sheetData>
    <row r="1" spans="1:5" x14ac:dyDescent="0.2">
      <c r="A1" s="6" t="s">
        <v>1</v>
      </c>
      <c r="B1" s="12" t="s">
        <v>158</v>
      </c>
      <c r="C1" t="s">
        <v>159</v>
      </c>
      <c r="D1" t="s">
        <v>161</v>
      </c>
      <c r="E1" t="s">
        <v>162</v>
      </c>
    </row>
    <row r="2" spans="1:5" x14ac:dyDescent="0.2">
      <c r="A2" s="5" t="s">
        <v>58</v>
      </c>
      <c r="B2">
        <f>+'1° Encuesta Filtrada'!AC3</f>
        <v>-2.2275</v>
      </c>
      <c r="C2">
        <f>+'1° Encuesta Filtrada'!AV3</f>
        <v>0.32000000000000012</v>
      </c>
      <c r="D2" t="str">
        <f>+'1° Encuesta Filtrada'!BY3</f>
        <v>Sergio Massa (Unión por la Patria)</v>
      </c>
      <c r="E2" t="str">
        <f>+'1° Encuesta Filtrada'!BZ3</f>
        <v>Sergio Massa (Unión por la Patria)</v>
      </c>
    </row>
    <row r="3" spans="1:5" x14ac:dyDescent="0.2">
      <c r="A3" s="5" t="s">
        <v>73</v>
      </c>
      <c r="B3">
        <f>+'1° Encuesta Filtrada'!AC4</f>
        <v>-2.9812499999999997</v>
      </c>
      <c r="C3">
        <f>+'1° Encuesta Filtrada'!AV4</f>
        <v>-3.9799999999999995</v>
      </c>
      <c r="D3" t="str">
        <f>+'1° Encuesta Filtrada'!BY4</f>
        <v>Sergio Massa (Unión por la Patria)</v>
      </c>
      <c r="E3" t="str">
        <f>+'1° Encuesta Filtrada'!BZ4</f>
        <v>Sergio Massa (Unión por la Patria)</v>
      </c>
    </row>
    <row r="4" spans="1:5" x14ac:dyDescent="0.2">
      <c r="A4" s="5" t="s">
        <v>79</v>
      </c>
      <c r="B4">
        <f>+'1° Encuesta Filtrada'!AC5</f>
        <v>-5.6025000000000009</v>
      </c>
      <c r="C4">
        <f>+'1° Encuesta Filtrada'!AV5</f>
        <v>-4.66</v>
      </c>
      <c r="D4" t="str">
        <f>+'1° Encuesta Filtrada'!BY5</f>
        <v>Sergio Massa (Unión por la Patria)</v>
      </c>
      <c r="E4" t="str">
        <f>+'1° Encuesta Filtrada'!BZ5</f>
        <v>Sergio Massa (Unión por la Patria)</v>
      </c>
    </row>
    <row r="5" spans="1:5" x14ac:dyDescent="0.2">
      <c r="A5" s="5" t="s">
        <v>84</v>
      </c>
      <c r="B5">
        <f>+'1° Encuesta Filtrada'!AC6</f>
        <v>-0.74249999999999994</v>
      </c>
      <c r="C5">
        <f>+'1° Encuesta Filtrada'!AV6</f>
        <v>-1.6500000000000001</v>
      </c>
      <c r="D5" t="str">
        <f>+'1° Encuesta Filtrada'!BY6</f>
        <v>Juan Schiaretti (Hacemos por Nuestro País)</v>
      </c>
      <c r="E5" t="str">
        <f>+'1° Encuesta Filtrada'!BZ6</f>
        <v>En blanco</v>
      </c>
    </row>
    <row r="6" spans="1:5" x14ac:dyDescent="0.2">
      <c r="A6" s="5" t="s">
        <v>88</v>
      </c>
      <c r="B6">
        <f>+'1° Encuesta Filtrada'!AC7</f>
        <v>-1.4850000000000001</v>
      </c>
      <c r="C6">
        <f>+'1° Encuesta Filtrada'!AV7</f>
        <v>-1.3399999999999999</v>
      </c>
      <c r="D6" t="str">
        <f>+'1° Encuesta Filtrada'!BY7</f>
        <v>Javier Milei (La Libertad Avanza)</v>
      </c>
      <c r="E6" t="str">
        <f>+'1° Encuesta Filtrada'!BZ7</f>
        <v>Javier Milei (La Libertad Avanza)</v>
      </c>
    </row>
    <row r="7" spans="1:5" x14ac:dyDescent="0.2">
      <c r="A7" s="5" t="s">
        <v>92</v>
      </c>
      <c r="B7">
        <f>+'1° Encuesta Filtrada'!AC8</f>
        <v>-2.5987499999999999</v>
      </c>
      <c r="C7">
        <f>+'1° Encuesta Filtrada'!AV8</f>
        <v>-1.9900000000000002</v>
      </c>
      <c r="D7" t="str">
        <f>+'1° Encuesta Filtrada'!BY8</f>
        <v>En blanco</v>
      </c>
      <c r="E7" t="str">
        <f>+'1° Encuesta Filtrada'!BZ8</f>
        <v>En blanco</v>
      </c>
    </row>
    <row r="8" spans="1:5" x14ac:dyDescent="0.2">
      <c r="A8" s="5" t="s">
        <v>97</v>
      </c>
      <c r="B8">
        <f>+'1° Encuesta Filtrada'!AC9</f>
        <v>4.0949999999999998</v>
      </c>
      <c r="C8">
        <f>+'1° Encuesta Filtrada'!AV9</f>
        <v>9.9999999999997868E-3</v>
      </c>
      <c r="D8" t="str">
        <f>+'1° Encuesta Filtrada'!BY9</f>
        <v>En blanco</v>
      </c>
      <c r="E8" t="str">
        <f>+'1° Encuesta Filtrada'!BZ9</f>
        <v>En blanco</v>
      </c>
    </row>
    <row r="9" spans="1:5" x14ac:dyDescent="0.2">
      <c r="A9" s="5" t="s">
        <v>100</v>
      </c>
      <c r="B9">
        <f>+'1° Encuesta Filtrada'!AC10</f>
        <v>0.37125000000000002</v>
      </c>
      <c r="C9">
        <f>+'1° Encuesta Filtrada'!AV10</f>
        <v>1.999999999999974E-2</v>
      </c>
      <c r="D9" t="str">
        <f>+'1° Encuesta Filtrada'!BY10</f>
        <v>En blanco</v>
      </c>
      <c r="E9" t="str">
        <f>+'1° Encuesta Filtrada'!BZ10</f>
        <v>En blanco</v>
      </c>
    </row>
    <row r="10" spans="1:5" x14ac:dyDescent="0.2">
      <c r="A10" s="5" t="s">
        <v>103</v>
      </c>
      <c r="B10">
        <f>+'1° Encuesta Filtrada'!AC11</f>
        <v>0.37125000000000002</v>
      </c>
      <c r="C10">
        <f>+'1° Encuesta Filtrada'!AV11</f>
        <v>-0.99</v>
      </c>
      <c r="D10" t="str">
        <f>+'1° Encuesta Filtrada'!BY11</f>
        <v>Javier Milei (La Libertad Avanza)</v>
      </c>
      <c r="E10" t="str">
        <f>+'1° Encuesta Filtrada'!BZ11</f>
        <v>Javier Milei (La Libertad Avanza)</v>
      </c>
    </row>
    <row r="11" spans="1:5" x14ac:dyDescent="0.2">
      <c r="A11" s="5" t="s">
        <v>105</v>
      </c>
      <c r="B11">
        <f>+'1° Encuesta Filtrada'!AC12</f>
        <v>-1.5074999999999998</v>
      </c>
      <c r="C11">
        <f>+'1° Encuesta Filtrada'!AV12</f>
        <v>0.33</v>
      </c>
      <c r="D11" t="str">
        <f>+'1° Encuesta Filtrada'!BY12</f>
        <v>Patricia Bullrich (Juntos por el Cambio)</v>
      </c>
      <c r="E11" t="str">
        <f>+'1° Encuesta Filtrada'!BZ12</f>
        <v>Javier Milei (La Libertad Avanza)</v>
      </c>
    </row>
    <row r="12" spans="1:5" x14ac:dyDescent="0.2">
      <c r="A12" s="5" t="s">
        <v>106</v>
      </c>
      <c r="B12">
        <f>+'1° Encuesta Filtrada'!AC13</f>
        <v>3.7350000000000003</v>
      </c>
      <c r="C12">
        <f>+'1° Encuesta Filtrada'!AV13</f>
        <v>0</v>
      </c>
      <c r="D12" t="str">
        <f>+'1° Encuesta Filtrada'!BY13</f>
        <v>Javier Milei (La Libertad Avanza)</v>
      </c>
      <c r="E12" t="str">
        <f>+'1° Encuesta Filtrada'!BZ13</f>
        <v>Javier Milei (La Libertad Avanza)</v>
      </c>
    </row>
    <row r="13" spans="1:5" x14ac:dyDescent="0.2">
      <c r="A13" s="5" t="s">
        <v>107</v>
      </c>
      <c r="B13">
        <f>+'1° Encuesta Filtrada'!AC14</f>
        <v>-0.75374999999999992</v>
      </c>
      <c r="C13">
        <f>+'1° Encuesta Filtrada'!AV14</f>
        <v>-1.33</v>
      </c>
      <c r="D13" t="str">
        <f>+'1° Encuesta Filtrada'!BY14</f>
        <v>Patricia Bullrich (Juntos por el Cambio)</v>
      </c>
      <c r="E13" t="str">
        <f>+'1° Encuesta Filtrada'!BZ14</f>
        <v>Javier Milei (La Libertad Avanza)</v>
      </c>
    </row>
    <row r="14" spans="1:5" x14ac:dyDescent="0.2">
      <c r="A14" s="5" t="s">
        <v>108</v>
      </c>
      <c r="B14">
        <f>+'1° Encuesta Filtrada'!AC15</f>
        <v>1.1249999999999885E-2</v>
      </c>
      <c r="C14">
        <f>+'1° Encuesta Filtrada'!AV15</f>
        <v>-2.6500000000000004</v>
      </c>
      <c r="D14" t="str">
        <f>+'1° Encuesta Filtrada'!BY15</f>
        <v>Javier Milei (La Libertad Avanza)</v>
      </c>
      <c r="E14" t="str">
        <f>+'1° Encuesta Filtrada'!BZ15</f>
        <v>Javier Milei (La Libertad Avanza)</v>
      </c>
    </row>
    <row r="15" spans="1:5" x14ac:dyDescent="0.2">
      <c r="A15" s="5" t="s">
        <v>111</v>
      </c>
      <c r="B15">
        <f>+'1° Encuesta Filtrada'!AC16</f>
        <v>4.8600000000000003</v>
      </c>
      <c r="C15">
        <f>+'1° Encuesta Filtrada'!AV16</f>
        <v>1</v>
      </c>
      <c r="D15" t="str">
        <f>+'1° Encuesta Filtrada'!BY16</f>
        <v>Patricia Bullrich (Juntos por el Cambio)</v>
      </c>
      <c r="E15" t="str">
        <f>+'1° Encuesta Filtrada'!BZ16</f>
        <v>Javier Milei (La Libertad Avanza)</v>
      </c>
    </row>
    <row r="16" spans="1:5" x14ac:dyDescent="0.2">
      <c r="A16" s="5" t="s">
        <v>112</v>
      </c>
      <c r="B16">
        <f>+'1° Encuesta Filtrada'!AC17</f>
        <v>1.85625</v>
      </c>
      <c r="C16">
        <f>+'1° Encuesta Filtrada'!AV17</f>
        <v>2</v>
      </c>
      <c r="D16" t="str">
        <f>+'1° Encuesta Filtrada'!BY17</f>
        <v>Patricia Bullrich (Juntos por el Cambio)</v>
      </c>
      <c r="E16" t="str">
        <f>+'1° Encuesta Filtrada'!BZ17</f>
        <v>Javier Milei (La Libertad Avanza)</v>
      </c>
    </row>
    <row r="17" spans="1:5" x14ac:dyDescent="0.2">
      <c r="A17" s="5" t="s">
        <v>113</v>
      </c>
      <c r="B17">
        <f>+'1° Encuesta Filtrada'!AC18</f>
        <v>0.76499999999999968</v>
      </c>
      <c r="C17">
        <f>+'1° Encuesta Filtrada'!AV18</f>
        <v>1.9900000000000002</v>
      </c>
      <c r="D17" t="str">
        <f>+'1° Encuesta Filtrada'!BY18</f>
        <v>Javier Milei (La Libertad Avanza)</v>
      </c>
      <c r="E17" t="str">
        <f>+'1° Encuesta Filtrada'!BZ18</f>
        <v>Javier Milei (La Libertad Avanza)</v>
      </c>
    </row>
    <row r="18" spans="1:5" x14ac:dyDescent="0.2">
      <c r="A18" s="5" t="s">
        <v>114</v>
      </c>
      <c r="B18">
        <f>+'1° Encuesta Filtrada'!AC19</f>
        <v>2.9812500000000002</v>
      </c>
      <c r="C18">
        <f>+'1° Encuesta Filtrada'!AV19</f>
        <v>0.32999999999999963</v>
      </c>
      <c r="D18" t="str">
        <f>+'1° Encuesta Filtrada'!BY19</f>
        <v>En blanco</v>
      </c>
      <c r="E18" t="str">
        <f>+'1° Encuesta Filtrada'!BZ19</f>
        <v>Javier Milei (La Libertad Avanza)</v>
      </c>
    </row>
    <row r="19" spans="1:5" x14ac:dyDescent="0.2">
      <c r="A19" s="5" t="s">
        <v>115</v>
      </c>
      <c r="B19">
        <f>+'1° Encuesta Filtrada'!AC20</f>
        <v>2.6324999999999998</v>
      </c>
      <c r="C19">
        <f>+'1° Encuesta Filtrada'!AV20</f>
        <v>-1.9900000000000002</v>
      </c>
      <c r="D19" t="str">
        <f>+'1° Encuesta Filtrada'!BY20</f>
        <v>Patricia Bullrich (Juntos por el Cambio)</v>
      </c>
      <c r="E19" t="str">
        <f>+'1° Encuesta Filtrada'!BZ20</f>
        <v>Javier Milei (La Libertad Avanza)</v>
      </c>
    </row>
    <row r="20" spans="1:5" x14ac:dyDescent="0.2">
      <c r="A20" s="5" t="s">
        <v>116</v>
      </c>
      <c r="B20">
        <f>+'1° Encuesta Filtrada'!AC21</f>
        <v>-1.11375</v>
      </c>
      <c r="C20">
        <f>+'1° Encuesta Filtrada'!AV21</f>
        <v>-1.6600000000000001</v>
      </c>
      <c r="D20" t="str">
        <f>+'1° Encuesta Filtrada'!BY21</f>
        <v>Sergio Massa (Unión por la Patria)</v>
      </c>
      <c r="E20" t="str">
        <f>+'1° Encuesta Filtrada'!BZ21</f>
        <v>Sergio Massa (Unión por la Patria)</v>
      </c>
    </row>
    <row r="21" spans="1:5" x14ac:dyDescent="0.2">
      <c r="A21" s="5" t="s">
        <v>117</v>
      </c>
      <c r="B21">
        <f>+'1° Encuesta Filtrada'!AC22</f>
        <v>1.4962500000000001</v>
      </c>
      <c r="C21">
        <f>+'1° Encuesta Filtrada'!AV22</f>
        <v>-1.67</v>
      </c>
      <c r="D21" t="str">
        <f>+'1° Encuesta Filtrada'!BY22</f>
        <v>Patricia Bullrich (Juntos por el Cambio)</v>
      </c>
      <c r="E21" t="str">
        <f>+'1° Encuesta Filtrada'!BZ22</f>
        <v>Javier Milei (La Libertad Avanza)</v>
      </c>
    </row>
    <row r="22" spans="1:5" x14ac:dyDescent="0.2">
      <c r="A22" s="5" t="s">
        <v>119</v>
      </c>
      <c r="B22">
        <f>+'1° Encuesta Filtrada'!AC23</f>
        <v>-0.75374999999999992</v>
      </c>
      <c r="C22">
        <f>+'1° Encuesta Filtrada'!AV23</f>
        <v>2.9800000000000004</v>
      </c>
      <c r="D22" t="str">
        <f>+'1° Encuesta Filtrada'!BY23</f>
        <v>Javier Milei (La Libertad Avanza)</v>
      </c>
      <c r="E22" t="str">
        <f>+'1° Encuesta Filtrada'!BZ23</f>
        <v>Javier Milei (La Libertad Avanza)</v>
      </c>
    </row>
    <row r="23" spans="1:5" x14ac:dyDescent="0.2">
      <c r="A23" s="5" t="s">
        <v>120</v>
      </c>
      <c r="B23">
        <f>+'1° Encuesta Filtrada'!AC24</f>
        <v>-4.8712499999999999</v>
      </c>
      <c r="C23">
        <f>+'1° Encuesta Filtrada'!AV24</f>
        <v>-4.66</v>
      </c>
      <c r="D23" t="str">
        <f>+'1° Encuesta Filtrada'!BY24</f>
        <v>Sergio Massa (Unión por la Patria)</v>
      </c>
      <c r="E23" t="str">
        <f>+'1° Encuesta Filtrada'!BZ24</f>
        <v>Sergio Massa (Unión por la Patria)</v>
      </c>
    </row>
    <row r="24" spans="1:5" x14ac:dyDescent="0.2">
      <c r="A24" s="5" t="s">
        <v>122</v>
      </c>
      <c r="B24">
        <f>+'1° Encuesta Filtrada'!AC25</f>
        <v>3.0037500000000001</v>
      </c>
      <c r="C24">
        <f>+'1° Encuesta Filtrada'!AV25</f>
        <v>1.3399999999999999</v>
      </c>
      <c r="D24" t="str">
        <f>+'1° Encuesta Filtrada'!BY25</f>
        <v>Javier Milei (La Libertad Avanza)</v>
      </c>
      <c r="E24" t="str">
        <f>+'1° Encuesta Filtrada'!BZ25</f>
        <v>Javier Milei (La Libertad Avanza)</v>
      </c>
    </row>
    <row r="25" spans="1:5" x14ac:dyDescent="0.2">
      <c r="A25" s="5" t="s">
        <v>123</v>
      </c>
      <c r="B25">
        <f>+'1° Encuesta Filtrada'!AC26</f>
        <v>-3.3637500000000005</v>
      </c>
      <c r="C25">
        <f>+'1° Encuesta Filtrada'!AV26</f>
        <v>-2.66</v>
      </c>
      <c r="D25" t="str">
        <f>+'1° Encuesta Filtrada'!BY26</f>
        <v>Javier Milei (La Libertad Avanza)</v>
      </c>
      <c r="E25" t="str">
        <f>+'1° Encuesta Filtrada'!BZ26</f>
        <v>Javier Milei (La Libertad Avanza)</v>
      </c>
    </row>
    <row r="26" spans="1:5" x14ac:dyDescent="0.2">
      <c r="A26" s="5" t="s">
        <v>124</v>
      </c>
      <c r="B26">
        <f>+'1° Encuesta Filtrada'!AC27</f>
        <v>0.74250000000000005</v>
      </c>
      <c r="C26">
        <f>+'1° Encuesta Filtrada'!AV27</f>
        <v>0.32999999999999996</v>
      </c>
      <c r="D26" t="str">
        <f>+'1° Encuesta Filtrada'!BY27</f>
        <v>Juan Schiaretti (Hacemos por Nuestro País)</v>
      </c>
      <c r="E26" t="str">
        <f>+'1° Encuesta Filtrada'!BZ27</f>
        <v>En blanco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Q29"/>
  <sheetViews>
    <sheetView workbookViewId="0">
      <pane ySplit="2" topLeftCell="A10" activePane="bottomLeft" state="frozen"/>
      <selection pane="bottomLeft" activeCell="B2" sqref="B2:B27"/>
    </sheetView>
  </sheetViews>
  <sheetFormatPr baseColWidth="10" defaultColWidth="12.5703125" defaultRowHeight="15.75" customHeight="1" x14ac:dyDescent="0.2"/>
  <cols>
    <col min="2" max="2" width="17.85546875" customWidth="1"/>
    <col min="24" max="24" width="17.7109375" bestFit="1" customWidth="1"/>
  </cols>
  <sheetData>
    <row r="1" spans="1:43" ht="15.75" customHeight="1" x14ac:dyDescent="0.2">
      <c r="G1" s="10" t="s">
        <v>145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8"/>
      <c r="Y1" s="11" t="s">
        <v>146</v>
      </c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 spans="1:43" ht="12.7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7" t="s">
        <v>143</v>
      </c>
      <c r="G2" s="1" t="s">
        <v>126</v>
      </c>
      <c r="H2" s="6" t="s">
        <v>148</v>
      </c>
      <c r="I2" s="1" t="s">
        <v>127</v>
      </c>
      <c r="J2" s="6" t="s">
        <v>148</v>
      </c>
      <c r="K2" s="1" t="s">
        <v>128</v>
      </c>
      <c r="L2" s="6" t="s">
        <v>148</v>
      </c>
      <c r="M2" s="1" t="s">
        <v>129</v>
      </c>
      <c r="N2" s="6" t="s">
        <v>148</v>
      </c>
      <c r="O2" s="1" t="s">
        <v>130</v>
      </c>
      <c r="P2" s="6" t="s">
        <v>148</v>
      </c>
      <c r="Q2" s="1" t="s">
        <v>131</v>
      </c>
      <c r="R2" s="6" t="s">
        <v>148</v>
      </c>
      <c r="S2" s="1" t="s">
        <v>132</v>
      </c>
      <c r="T2" s="6" t="s">
        <v>148</v>
      </c>
      <c r="U2" s="1" t="s">
        <v>133</v>
      </c>
      <c r="V2" s="6" t="s">
        <v>148</v>
      </c>
      <c r="W2" s="6" t="s">
        <v>144</v>
      </c>
      <c r="X2" s="6" t="s">
        <v>160</v>
      </c>
      <c r="Y2" s="1" t="s">
        <v>134</v>
      </c>
      <c r="Z2" s="6" t="s">
        <v>149</v>
      </c>
      <c r="AA2" s="1" t="s">
        <v>135</v>
      </c>
      <c r="AB2" s="6" t="s">
        <v>149</v>
      </c>
      <c r="AC2" s="1" t="s">
        <v>136</v>
      </c>
      <c r="AD2" s="6" t="s">
        <v>149</v>
      </c>
      <c r="AE2" s="1" t="s">
        <v>137</v>
      </c>
      <c r="AF2" s="6" t="s">
        <v>149</v>
      </c>
      <c r="AG2" s="1" t="s">
        <v>138</v>
      </c>
      <c r="AH2" s="6" t="s">
        <v>149</v>
      </c>
      <c r="AI2" s="1" t="s">
        <v>139</v>
      </c>
      <c r="AJ2" s="6" t="s">
        <v>149</v>
      </c>
      <c r="AK2" s="1" t="s">
        <v>140</v>
      </c>
      <c r="AL2" s="6" t="s">
        <v>149</v>
      </c>
      <c r="AM2" s="1" t="s">
        <v>141</v>
      </c>
      <c r="AN2" s="6" t="s">
        <v>149</v>
      </c>
      <c r="AO2" s="1" t="s">
        <v>142</v>
      </c>
      <c r="AP2" s="6" t="s">
        <v>149</v>
      </c>
      <c r="AQ2" s="6" t="s">
        <v>147</v>
      </c>
    </row>
    <row r="3" spans="1:43" ht="12.75" x14ac:dyDescent="0.2">
      <c r="A3" s="4">
        <v>45587.749520729165</v>
      </c>
      <c r="B3" s="5" t="s">
        <v>58</v>
      </c>
      <c r="C3" s="6">
        <v>1997</v>
      </c>
      <c r="D3" s="6" t="s">
        <v>59</v>
      </c>
      <c r="E3" s="6" t="s">
        <v>60</v>
      </c>
      <c r="F3" s="7" t="s">
        <v>143</v>
      </c>
      <c r="G3" s="6" t="s">
        <v>65</v>
      </c>
      <c r="H3" s="9">
        <f>IF(G3="Totalmente de Acuerdo",1,IF(G3="Muy de Acuerdo",0.66,IF(G3="Levemente de Acuerdo",0.33,IF(G3="Levemente en Desacuerdo",-0.33,IF(G3="Muy en Desacuerdo",-0.66,IF(G3="Totalmente en Desacuerdo",-1,"error"))))))</f>
        <v>-0.33</v>
      </c>
      <c r="I3" s="6" t="s">
        <v>70</v>
      </c>
      <c r="J3" s="9">
        <f>IF(I3="Totalmente de Acuerdo",-1,IF(I3="Muy de Acuerdo",-0.66,IF(I3="Levemente de Acuerdo",-0.33,IF(I3="Levemente en Desacuerdo",0.33,IF(I3="Muy en Desacuerdo",0.66,IF(I3="Totalmente en Desacuerdo",1,"error"))))))</f>
        <v>-1</v>
      </c>
      <c r="K3" s="6" t="s">
        <v>67</v>
      </c>
      <c r="L3" s="9">
        <f>IF(K3="Totalmente de Acuerdo",-1,IF(K3="Muy de Acuerdo",-0.66,IF(K3="Levemente de Acuerdo",-0.33,IF(K3="Levemente en Desacuerdo",0.33,IF(K3="Muy en Desacuerdo",0.66,IF(K3="Totalmente en Desacuerdo",1,"error"))))))</f>
        <v>-0.33</v>
      </c>
      <c r="M3" s="6" t="s">
        <v>65</v>
      </c>
      <c r="N3" s="9">
        <f>IF(M3="Totalmente de Acuerdo",1,IF(M3="Muy de Acuerdo",0.66,IF(M3="Levemente de Acuerdo",0.33,IF(M3="Levemente en Desacuerdo",-0.33,IF(M3="Muy en Desacuerdo",-0.66,IF(M3="Totalmente en Desacuerdo",-1,"error"))))))</f>
        <v>-0.33</v>
      </c>
      <c r="O3" s="6" t="s">
        <v>67</v>
      </c>
      <c r="P3" s="9">
        <f>IF(O3="Totalmente de Acuerdo",-1,IF(O3="Muy de Acuerdo",-0.66,IF(O3="Levemente de Acuerdo",-0.33,IF(O3="Levemente en Desacuerdo",0.33,IF(O3="Muy en Desacuerdo",0.66,IF(O3="Totalmente en Desacuerdo",1,"error"))))))</f>
        <v>-0.33</v>
      </c>
      <c r="Q3" s="6" t="s">
        <v>67</v>
      </c>
      <c r="R3" s="9">
        <f>IF(Q3="Totalmente de Acuerdo",1,IF(Q3="Muy de Acuerdo",0.66,IF(Q3="Levemente de Acuerdo",0.33,IF(Q3="Levemente en Desacuerdo",-0.33,IF(Q3="Muy en Desacuerdo",-0.66,IF(Q3="Totalmente en Desacuerdo",-1,"error"))))))</f>
        <v>0.33</v>
      </c>
      <c r="S3" s="6" t="s">
        <v>66</v>
      </c>
      <c r="T3" s="9">
        <f>IF(S3="Totalmente de Acuerdo",1,IF(S3="Muy de Acuerdo",0.66,IF(S3="Levemente de Acuerdo",0.33,IF(S3="Levemente en Desacuerdo",-0.33,IF(S3="Muy en Desacuerdo",-0.66,IF(S3="Totalmente en Desacuerdo",-1,"error"))))))</f>
        <v>0.66</v>
      </c>
      <c r="U3" s="6" t="s">
        <v>69</v>
      </c>
      <c r="V3" s="9">
        <f>IF(U3="Totalmente de Acuerdo",-1,IF(U3="Muy de Acuerdo",-0.66,IF(U3="Levemente de Acuerdo",-0.33,IF(U3="Levemente en Desacuerdo",0.33,IF(U3="Muy en Desacuerdo",0.66,IF(U3="Totalmente en Desacuerdo",1,"error"))))))</f>
        <v>0.66</v>
      </c>
      <c r="W3" s="6">
        <f>V3+T3+R3+P3+N3+L3+J3+H3</f>
        <v>-0.67000000000000015</v>
      </c>
      <c r="X3" s="6">
        <f>+W3*W$29</f>
        <v>-0.75375000000000014</v>
      </c>
      <c r="Y3" s="6" t="s">
        <v>68</v>
      </c>
      <c r="Z3" s="9">
        <f>IF(Y3="Totalmente de Acuerdo",1,IF(Y3="Muy de Acuerdo",0.66,IF(Y3="Levemente de Acuerdo",0.33,IF(Y3="Levemente en Desacuerdo",-0.33,IF(Y3="Muy en Desacuerdo",-0.66,IF(Y3="Totalmente en Desacuerdo",-1,"error"))))))</f>
        <v>-1</v>
      </c>
      <c r="AA3" s="6" t="s">
        <v>66</v>
      </c>
      <c r="AB3" s="9">
        <f>IF(AA3="Totalmente de Acuerdo",-1,IF(AA3="Muy de Acuerdo",-0.66,IF(AA3="Levemente de Acuerdo",-0.33,IF(AA3="Levemente en Desacuerdo",0.33,IF(AA3="Muy en Desacuerdo",0.66,IF(AA3="Totalmente en Desacuerdo",1,"error"))))))</f>
        <v>-0.66</v>
      </c>
      <c r="AC3" s="6" t="s">
        <v>69</v>
      </c>
      <c r="AD3" s="9">
        <f>IF(AC3="Totalmente de Acuerdo",-1,IF(AC3="Muy de Acuerdo",-0.66,IF(AC3="Levemente de Acuerdo",-0.33,IF(AC3="Levemente en Desacuerdo",0.33,IF(AC3="Muy en Desacuerdo",0.66,IF(AC3="Totalmente en Desacuerdo",1,"error"))))))</f>
        <v>0.66</v>
      </c>
      <c r="AE3" s="6" t="s">
        <v>67</v>
      </c>
      <c r="AF3" s="9">
        <f>IF(AE3="Totalmente de Acuerdo",1,IF(AE3="Muy de Acuerdo",0.66,IF(AE3="Levemente de Acuerdo",0.33,IF(AE3="Levemente en Desacuerdo",-0.33,IF(AE3="Muy en Desacuerdo",-0.66,IF(AE3="Totalmente en Desacuerdo",-1,"error"))))))</f>
        <v>0.33</v>
      </c>
      <c r="AG3" s="6" t="s">
        <v>68</v>
      </c>
      <c r="AH3" s="9">
        <f>IF(AG3="Totalmente de Acuerdo",1,IF(AG3="Muy de Acuerdo",0.66,IF(AG3="Levemente de Acuerdo",0.33,IF(AG3="Levemente en Desacuerdo",-0.33,IF(AG3="Muy en Desacuerdo",-0.66,IF(AG3="Totalmente en Desacuerdo",-1,"error"))))))</f>
        <v>-1</v>
      </c>
      <c r="AI3" s="6" t="s">
        <v>65</v>
      </c>
      <c r="AJ3" s="9">
        <f>IF(AI3="Totalmente de Acuerdo",1,IF(AI3="Muy de Acuerdo",0.66,IF(AI3="Levemente de Acuerdo",0.33,IF(AI3="Levemente en Desacuerdo",-0.33,IF(AI3="Muy en Desacuerdo",-0.66,IF(AI3="Totalmente en Desacuerdo",-1,"error"))))))</f>
        <v>-0.33</v>
      </c>
      <c r="AK3" s="6" t="s">
        <v>67</v>
      </c>
      <c r="AL3" s="9">
        <f>IF(AK3="Totalmente de Acuerdo",1,IF(AK3="Muy de Acuerdo",0.66,IF(AK3="Levemente de Acuerdo",0.33,IF(AK3="Levemente en Desacuerdo",-0.33,IF(AK3="Muy en Desacuerdo",-0.66,IF(AK3="Totalmente en Desacuerdo",-1,"error"))))))</f>
        <v>0.33</v>
      </c>
      <c r="AM3" s="6" t="s">
        <v>69</v>
      </c>
      <c r="AN3" s="9">
        <f>IF(AM3="Totalmente de Acuerdo",-1,IF(AM3="Muy de Acuerdo",-0.66,IF(AM3="Levemente de Acuerdo",-0.33,IF(AM3="Levemente en Desacuerdo",0.33,IF(AM3="Muy en Desacuerdo",0.66,IF(AM3="Totalmente en Desacuerdo",1,"error"))))))</f>
        <v>0.66</v>
      </c>
      <c r="AO3" s="6" t="s">
        <v>68</v>
      </c>
      <c r="AP3" s="9">
        <f>IF(AO3="Totalmente de Acuerdo",1,IF(AO3="Muy de Acuerdo",0.66,IF(AO3="Levemente de Acuerdo",0.33,IF(AO3="Levemente en Desacuerdo",-0.33,IF(AO3="Muy en Desacuerdo",-0.66,IF(AO3="Totalmente en Desacuerdo",-1,"error"))))))</f>
        <v>-1</v>
      </c>
      <c r="AQ3">
        <f>+AP3+AN3+AL3+AJ3+AH3+AF3+AD3+AB3+Z3</f>
        <v>-2.0099999999999998</v>
      </c>
    </row>
    <row r="4" spans="1:43" ht="12.75" x14ac:dyDescent="0.2">
      <c r="A4" s="4">
        <v>45592.959013402782</v>
      </c>
      <c r="B4" s="5" t="s">
        <v>73</v>
      </c>
      <c r="C4" s="6">
        <v>1998</v>
      </c>
      <c r="D4" s="6" t="s">
        <v>59</v>
      </c>
      <c r="E4" s="6" t="s">
        <v>60</v>
      </c>
      <c r="F4" s="7" t="s">
        <v>143</v>
      </c>
      <c r="G4" s="6" t="s">
        <v>69</v>
      </c>
      <c r="H4" s="9">
        <f t="shared" ref="H4:H28" si="0">IF(G4="Totalmente de Acuerdo",1,IF(G4="Muy de Acuerdo",0.66,IF(G4="Levemente de Acuerdo",0.33,IF(G4="Levemente en Desacuerdo",-0.33,IF(G4="Muy en Desacuerdo",-0.66,IF(G4="Totalmente en Desacuerdo",-1,"error"))))))</f>
        <v>-0.66</v>
      </c>
      <c r="I4" s="6" t="s">
        <v>70</v>
      </c>
      <c r="J4" s="9">
        <f t="shared" ref="J4:J27" si="1">IF(I4="Totalmente de Acuerdo",-1,IF(I4="Muy de Acuerdo",-0.66,IF(I4="Levemente de Acuerdo",-0.33,IF(I4="Levemente en Desacuerdo",0.33,IF(I4="Muy en Desacuerdo",0.66,IF(I4="Totalmente en Desacuerdo",1,"error"))))))</f>
        <v>-1</v>
      </c>
      <c r="K4" s="6" t="s">
        <v>65</v>
      </c>
      <c r="L4" s="9">
        <f t="shared" ref="L4:L27" si="2">IF(K4="Totalmente de Acuerdo",-1,IF(K4="Muy de Acuerdo",-0.66,IF(K4="Levemente de Acuerdo",-0.33,IF(K4="Levemente en Desacuerdo",0.33,IF(K4="Muy en Desacuerdo",0.66,IF(K4="Totalmente en Desacuerdo",1,"error"))))))</f>
        <v>0.33</v>
      </c>
      <c r="M4" s="6" t="s">
        <v>69</v>
      </c>
      <c r="N4" s="9">
        <f t="shared" ref="N4:N28" si="3">IF(M4="Totalmente de Acuerdo",1,IF(M4="Muy de Acuerdo",0.66,IF(M4="Levemente de Acuerdo",0.33,IF(M4="Levemente en Desacuerdo",-0.33,IF(M4="Muy en Desacuerdo",-0.66,IF(M4="Totalmente en Desacuerdo",-1,"error"))))))</f>
        <v>-0.66</v>
      </c>
      <c r="O4" s="6" t="s">
        <v>70</v>
      </c>
      <c r="P4" s="9">
        <f t="shared" ref="P4:P27" si="4">IF(O4="Totalmente de Acuerdo",-1,IF(O4="Muy de Acuerdo",-0.66,IF(O4="Levemente de Acuerdo",-0.33,IF(O4="Levemente en Desacuerdo",0.33,IF(O4="Muy en Desacuerdo",0.66,IF(O4="Totalmente en Desacuerdo",1,"error"))))))</f>
        <v>-1</v>
      </c>
      <c r="Q4" s="6" t="s">
        <v>70</v>
      </c>
      <c r="R4" s="9">
        <f t="shared" ref="R4:R27" si="5">IF(Q4="Totalmente de Acuerdo",1,IF(Q4="Muy de Acuerdo",0.66,IF(Q4="Levemente de Acuerdo",0.33,IF(Q4="Levemente en Desacuerdo",-0.33,IF(Q4="Muy en Desacuerdo",-0.66,IF(Q4="Totalmente en Desacuerdo",-1,"error"))))))</f>
        <v>1</v>
      </c>
      <c r="S4" s="6" t="s">
        <v>68</v>
      </c>
      <c r="T4" s="9">
        <f t="shared" ref="T4:T27" si="6">IF(S4="Totalmente de Acuerdo",1,IF(S4="Muy de Acuerdo",0.66,IF(S4="Levemente de Acuerdo",0.33,IF(S4="Levemente en Desacuerdo",-0.33,IF(S4="Muy en Desacuerdo",-0.66,IF(S4="Totalmente en Desacuerdo",-1,"error"))))))</f>
        <v>-1</v>
      </c>
      <c r="U4" s="6" t="s">
        <v>65</v>
      </c>
      <c r="V4" s="9">
        <f t="shared" ref="V4:V5" si="7">IF(U4="Totalmente de Acuerdo",-1,IF(U4="Muy de Acuerdo",-0.66,IF(U4="Levemente de Acuerdo",-0.33,IF(U4="Levemente en Desacuerdo",0.33,IF(U4="Muy en Desacuerdo",0.66,IF(U4="Totalmente en Desacuerdo",1,"error"))))))</f>
        <v>0.33</v>
      </c>
      <c r="W4" s="6">
        <f>+V4+T4+R4+P4+N4+L4+J4+H4</f>
        <v>-2.66</v>
      </c>
      <c r="X4" s="6">
        <f t="shared" ref="X4:X29" si="8">+W4*W$29</f>
        <v>-2.9925000000000002</v>
      </c>
      <c r="Y4" s="6" t="s">
        <v>68</v>
      </c>
      <c r="Z4" s="9">
        <f>IF(Y4="Totalmente de Acuerdo",1,IF(Y4="Muy de Acuerdo",0.66,IF(Y4="Levemente de Acuerdo",0.33,IF(Y4="Levemente en Desacuerdo",-0.33,IF(Y4="Muy en Desacuerdo",-0.66,IF(Y4="Totalmente en Desacuerdo",-1,"error"))))))</f>
        <v>-1</v>
      </c>
      <c r="AA4" s="6" t="s">
        <v>65</v>
      </c>
      <c r="AB4" s="9">
        <f t="shared" ref="AB4:AB29" si="9">IF(AA4="Totalmente de Acuerdo",-1,IF(AA4="Muy de Acuerdo",-0.66,IF(AA4="Levemente de Acuerdo",-0.33,IF(AA4="Levemente en Desacuerdo",0.33,IF(AA4="Muy en Desacuerdo",0.66,IF(AA4="Totalmente en Desacuerdo",1,"error"))))))</f>
        <v>0.33</v>
      </c>
      <c r="AC4" s="6" t="s">
        <v>67</v>
      </c>
      <c r="AD4" s="9">
        <f t="shared" ref="AD4:AD29" si="10">IF(AC4="Totalmente de Acuerdo",-1,IF(AC4="Muy de Acuerdo",-0.66,IF(AC4="Levemente de Acuerdo",-0.33,IF(AC4="Levemente en Desacuerdo",0.33,IF(AC4="Muy en Desacuerdo",0.66,IF(AC4="Totalmente en Desacuerdo",1,"error"))))))</f>
        <v>-0.33</v>
      </c>
      <c r="AE4" s="6" t="s">
        <v>70</v>
      </c>
      <c r="AF4" s="9">
        <f t="shared" ref="AF4:AF29" si="11">IF(AE4="Totalmente de Acuerdo",1,IF(AE4="Muy de Acuerdo",0.66,IF(AE4="Levemente de Acuerdo",0.33,IF(AE4="Levemente en Desacuerdo",-0.33,IF(AE4="Muy en Desacuerdo",-0.66,IF(AE4="Totalmente en Desacuerdo",-1,"error"))))))</f>
        <v>1</v>
      </c>
      <c r="AG4" s="6" t="s">
        <v>69</v>
      </c>
      <c r="AH4" s="9">
        <f>IF(AG4="Totalmente de Acuerdo",1,IF(AG4="Muy de Acuerdo",0.66,IF(AG4="Levemente de Acuerdo",0.33,IF(AG4="Levemente en Desacuerdo",-0.33,IF(AG4="Muy en Desacuerdo",-0.66,IF(AG4="Totalmente en Desacuerdo",-1,"error"))))))</f>
        <v>-0.66</v>
      </c>
      <c r="AI4" s="6" t="s">
        <v>69</v>
      </c>
      <c r="AJ4" s="9">
        <f>IF(AI4="Totalmente de Acuerdo",1,IF(AI4="Muy de Acuerdo",0.66,IF(AI4="Levemente de Acuerdo",0.33,IF(AI4="Levemente en Desacuerdo",-0.33,IF(AI4="Muy en Desacuerdo",-0.66,IF(AI4="Totalmente en Desacuerdo",-1,"error"))))))</f>
        <v>-0.66</v>
      </c>
      <c r="AK4" s="6" t="s">
        <v>69</v>
      </c>
      <c r="AL4" s="9">
        <f t="shared" ref="AL4:AL29" si="12">IF(AK4="Totalmente de Acuerdo",1,IF(AK4="Muy de Acuerdo",0.66,IF(AK4="Levemente de Acuerdo",0.33,IF(AK4="Levemente en Desacuerdo",-0.33,IF(AK4="Muy en Desacuerdo",-0.66,IF(AK4="Totalmente en Desacuerdo",-1,"error"))))))</f>
        <v>-0.66</v>
      </c>
      <c r="AM4" s="6" t="s">
        <v>69</v>
      </c>
      <c r="AN4" s="9">
        <f t="shared" ref="AN4:AN29" si="13">IF(AM4="Totalmente de Acuerdo",-1,IF(AM4="Muy de Acuerdo",-0.66,IF(AM4="Levemente de Acuerdo",-0.33,IF(AM4="Levemente en Desacuerdo",0.33,IF(AM4="Muy en Desacuerdo",0.66,IF(AM4="Totalmente en Desacuerdo",1,"error"))))))</f>
        <v>0.66</v>
      </c>
      <c r="AO4" s="6" t="s">
        <v>67</v>
      </c>
      <c r="AP4" s="9">
        <f t="shared" ref="AP4:AP29" si="14">IF(AO4="Totalmente de Acuerdo",1,IF(AO4="Muy de Acuerdo",0.66,IF(AO4="Levemente de Acuerdo",0.33,IF(AO4="Levemente en Desacuerdo",-0.33,IF(AO4="Muy en Desacuerdo",-0.66,IF(AO4="Totalmente en Desacuerdo",-1,"error"))))))</f>
        <v>0.33</v>
      </c>
      <c r="AQ4">
        <f t="shared" ref="AQ4:AQ28" si="15">+AP4+AN4+AL4+AJ4+AH4+AF4+AD4+AB4+Z4</f>
        <v>-0.9900000000000001</v>
      </c>
    </row>
    <row r="5" spans="1:43" ht="12.75" x14ac:dyDescent="0.2">
      <c r="A5" s="4">
        <v>45601.777321620371</v>
      </c>
      <c r="B5" s="5" t="s">
        <v>79</v>
      </c>
      <c r="C5" s="6">
        <v>1999</v>
      </c>
      <c r="D5" s="6" t="s">
        <v>80</v>
      </c>
      <c r="E5" s="6" t="s">
        <v>81</v>
      </c>
      <c r="F5" s="7" t="s">
        <v>143</v>
      </c>
      <c r="G5" s="6" t="s">
        <v>68</v>
      </c>
      <c r="H5" s="9">
        <f t="shared" si="0"/>
        <v>-1</v>
      </c>
      <c r="I5" s="6" t="s">
        <v>70</v>
      </c>
      <c r="J5" s="9">
        <f t="shared" si="1"/>
        <v>-1</v>
      </c>
      <c r="K5" s="6" t="s">
        <v>70</v>
      </c>
      <c r="L5" s="9">
        <f t="shared" si="2"/>
        <v>-1</v>
      </c>
      <c r="M5" s="6" t="s">
        <v>69</v>
      </c>
      <c r="N5" s="9">
        <f t="shared" si="3"/>
        <v>-0.66</v>
      </c>
      <c r="O5" s="6" t="s">
        <v>66</v>
      </c>
      <c r="P5" s="9">
        <f t="shared" si="4"/>
        <v>-0.66</v>
      </c>
      <c r="Q5" s="6" t="s">
        <v>65</v>
      </c>
      <c r="R5" s="9">
        <f t="shared" si="5"/>
        <v>-0.33</v>
      </c>
      <c r="S5" s="6" t="s">
        <v>69</v>
      </c>
      <c r="T5" s="9">
        <f t="shared" si="6"/>
        <v>-0.66</v>
      </c>
      <c r="U5" s="6" t="s">
        <v>66</v>
      </c>
      <c r="V5" s="9">
        <f t="shared" si="7"/>
        <v>-0.66</v>
      </c>
      <c r="W5" s="6">
        <f t="shared" ref="W5:W27" si="16">+V5+T5+R5+P5+N5+L5+J5+H5</f>
        <v>-5.9700000000000006</v>
      </c>
      <c r="X5" s="6">
        <f t="shared" si="8"/>
        <v>-6.7162500000000005</v>
      </c>
      <c r="Y5" s="6" t="s">
        <v>65</v>
      </c>
      <c r="Z5" s="9">
        <f t="shared" ref="Z5:Z28" si="17">IF(Y5="Totalmente de Acuerdo",1,IF(Y5="Muy de Acuerdo",0.66,IF(Y5="Levemente de Acuerdo",0.33,IF(Y5="Levemente en Desacuerdo",-0.33,IF(Y5="Muy en Desacuerdo",-0.66,IF(Y5="Totalmente en Desacuerdo",-1,"error"))))))</f>
        <v>-0.33</v>
      </c>
      <c r="AA5" s="6" t="s">
        <v>70</v>
      </c>
      <c r="AB5" s="9">
        <f t="shared" si="9"/>
        <v>-1</v>
      </c>
      <c r="AC5" s="6" t="s">
        <v>66</v>
      </c>
      <c r="AD5" s="9">
        <f t="shared" si="10"/>
        <v>-0.66</v>
      </c>
      <c r="AE5" s="6" t="s">
        <v>67</v>
      </c>
      <c r="AF5" s="9">
        <f t="shared" si="11"/>
        <v>0.33</v>
      </c>
      <c r="AG5" s="6" t="s">
        <v>68</v>
      </c>
      <c r="AH5" s="9">
        <f t="shared" ref="AH5:AH29" si="18">IF(AG5="Totalmente de Acuerdo",1,IF(AG5="Muy de Acuerdo",0.66,IF(AG5="Levemente de Acuerdo",0.33,IF(AG5="Levemente en Desacuerdo",-0.33,IF(AG5="Muy en Desacuerdo",-0.66,IF(AG5="Totalmente en Desacuerdo",-1,"error"))))))</f>
        <v>-1</v>
      </c>
      <c r="AI5" s="6" t="s">
        <v>69</v>
      </c>
      <c r="AJ5" s="9">
        <f t="shared" ref="AJ5:AJ29" si="19">IF(AI5="Totalmente de Acuerdo",1,IF(AI5="Muy de Acuerdo",0.66,IF(AI5="Levemente de Acuerdo",0.33,IF(AI5="Levemente en Desacuerdo",-0.33,IF(AI5="Muy en Desacuerdo",-0.66,IF(AI5="Totalmente en Desacuerdo",-1,"error"))))))</f>
        <v>-0.66</v>
      </c>
      <c r="AK5" s="6" t="s">
        <v>69</v>
      </c>
      <c r="AL5" s="9">
        <f t="shared" si="12"/>
        <v>-0.66</v>
      </c>
      <c r="AM5" s="6" t="s">
        <v>66</v>
      </c>
      <c r="AN5" s="9">
        <f t="shared" si="13"/>
        <v>-0.66</v>
      </c>
      <c r="AO5" s="6" t="s">
        <v>67</v>
      </c>
      <c r="AP5" s="9">
        <f t="shared" si="14"/>
        <v>0.33</v>
      </c>
      <c r="AQ5">
        <f t="shared" si="15"/>
        <v>-4.3099999999999996</v>
      </c>
    </row>
    <row r="6" spans="1:43" ht="12.75" x14ac:dyDescent="0.2">
      <c r="A6" s="4">
        <v>45589.545552511576</v>
      </c>
      <c r="B6" s="5" t="s">
        <v>84</v>
      </c>
      <c r="C6" s="6">
        <v>2000</v>
      </c>
      <c r="D6" s="6" t="s">
        <v>80</v>
      </c>
      <c r="E6" s="6" t="s">
        <v>85</v>
      </c>
      <c r="F6" s="7" t="s">
        <v>143</v>
      </c>
      <c r="G6" s="6" t="s">
        <v>65</v>
      </c>
      <c r="H6" s="9">
        <f t="shared" si="0"/>
        <v>-0.33</v>
      </c>
      <c r="I6" s="6" t="s">
        <v>70</v>
      </c>
      <c r="J6" s="9">
        <f t="shared" si="1"/>
        <v>-1</v>
      </c>
      <c r="K6" s="6" t="s">
        <v>67</v>
      </c>
      <c r="L6" s="9">
        <f t="shared" si="2"/>
        <v>-0.33</v>
      </c>
      <c r="M6" s="6" t="s">
        <v>69</v>
      </c>
      <c r="N6" s="9">
        <f t="shared" si="3"/>
        <v>-0.66</v>
      </c>
      <c r="O6" s="6" t="s">
        <v>70</v>
      </c>
      <c r="P6" s="9">
        <f t="shared" si="4"/>
        <v>-1</v>
      </c>
      <c r="Q6" s="6" t="s">
        <v>70</v>
      </c>
      <c r="R6" s="9">
        <f t="shared" si="5"/>
        <v>1</v>
      </c>
      <c r="S6" s="6" t="s">
        <v>65</v>
      </c>
      <c r="T6" s="9">
        <f t="shared" si="6"/>
        <v>-0.33</v>
      </c>
      <c r="U6" s="6" t="s">
        <v>99</v>
      </c>
      <c r="V6" s="9">
        <f>IF(U6="Totalmente de Acuerdo",-1,IF(U6="Muy de Acuerdo",-0.66,IF(U6="Levemente en Acuerdo",-0.33,IF(U6="Levemente en Desacuerdo",0.33,IF(U6="Muy en Desacuerdo",0.66,IF(U6="Totalmente en Desacuerdo",1,"error"))))))</f>
        <v>-0.33</v>
      </c>
      <c r="W6" s="6">
        <f t="shared" si="16"/>
        <v>-2.9800000000000004</v>
      </c>
      <c r="X6" s="6">
        <f t="shared" si="8"/>
        <v>-3.3525000000000005</v>
      </c>
      <c r="Y6" s="6" t="s">
        <v>69</v>
      </c>
      <c r="Z6" s="9">
        <f t="shared" si="17"/>
        <v>-0.66</v>
      </c>
      <c r="AA6" s="6" t="s">
        <v>68</v>
      </c>
      <c r="AB6" s="9">
        <f t="shared" si="9"/>
        <v>1</v>
      </c>
      <c r="AC6" s="6" t="s">
        <v>65</v>
      </c>
      <c r="AD6" s="9">
        <f t="shared" si="10"/>
        <v>0.33</v>
      </c>
      <c r="AE6" s="6" t="s">
        <v>66</v>
      </c>
      <c r="AF6" s="9">
        <f t="shared" si="11"/>
        <v>0.66</v>
      </c>
      <c r="AG6" s="6" t="s">
        <v>69</v>
      </c>
      <c r="AH6" s="9">
        <f t="shared" si="18"/>
        <v>-0.66</v>
      </c>
      <c r="AI6" s="6" t="s">
        <v>68</v>
      </c>
      <c r="AJ6" s="9">
        <f t="shared" si="19"/>
        <v>-1</v>
      </c>
      <c r="AK6" s="6" t="s">
        <v>66</v>
      </c>
      <c r="AL6" s="9">
        <f t="shared" si="12"/>
        <v>0.66</v>
      </c>
      <c r="AM6" s="6" t="s">
        <v>69</v>
      </c>
      <c r="AN6" s="9">
        <f t="shared" si="13"/>
        <v>0.66</v>
      </c>
      <c r="AO6" s="6" t="s">
        <v>67</v>
      </c>
      <c r="AP6" s="9">
        <f t="shared" si="14"/>
        <v>0.33</v>
      </c>
      <c r="AQ6">
        <f t="shared" si="15"/>
        <v>1.3199999999999998</v>
      </c>
    </row>
    <row r="7" spans="1:43" ht="12.75" x14ac:dyDescent="0.2">
      <c r="A7" s="4">
        <v>45587.737472199078</v>
      </c>
      <c r="B7" s="5" t="s">
        <v>88</v>
      </c>
      <c r="C7" s="6">
        <v>2000</v>
      </c>
      <c r="D7" s="6" t="s">
        <v>59</v>
      </c>
      <c r="E7" s="6" t="s">
        <v>85</v>
      </c>
      <c r="F7" s="7" t="s">
        <v>143</v>
      </c>
      <c r="G7" s="6" t="s">
        <v>67</v>
      </c>
      <c r="H7" s="9">
        <f t="shared" si="0"/>
        <v>0.33</v>
      </c>
      <c r="I7" s="6" t="s">
        <v>67</v>
      </c>
      <c r="J7" s="9">
        <f t="shared" si="1"/>
        <v>-0.33</v>
      </c>
      <c r="K7" s="6" t="s">
        <v>65</v>
      </c>
      <c r="L7" s="9">
        <f t="shared" si="2"/>
        <v>0.33</v>
      </c>
      <c r="M7" s="6" t="s">
        <v>66</v>
      </c>
      <c r="N7" s="9">
        <f t="shared" si="3"/>
        <v>0.66</v>
      </c>
      <c r="O7" s="6" t="s">
        <v>67</v>
      </c>
      <c r="P7" s="9">
        <f t="shared" si="4"/>
        <v>-0.33</v>
      </c>
      <c r="Q7" s="6" t="s">
        <v>67</v>
      </c>
      <c r="R7" s="9">
        <f t="shared" si="5"/>
        <v>0.33</v>
      </c>
      <c r="S7" s="6" t="s">
        <v>65</v>
      </c>
      <c r="T7" s="9">
        <f t="shared" si="6"/>
        <v>-0.33</v>
      </c>
      <c r="U7" s="6" t="s">
        <v>65</v>
      </c>
      <c r="V7" s="9">
        <f t="shared" ref="V7:V27" si="20">IF(U7="Totalmente de Acuerdo",-1,IF(U7="Muy de Acuerdo",-0.66,IF(U7="Levemente en Acuerdo",-0.33,IF(U7="Levemente en Desacuerdo",0.33,IF(U7="Muy en Desacuerdo",0.66,IF(U7="Totalmente en Desacuerdo",1,"error"))))))</f>
        <v>0.33</v>
      </c>
      <c r="W7" s="6">
        <f t="shared" si="16"/>
        <v>0.99</v>
      </c>
      <c r="X7" s="6">
        <f t="shared" si="8"/>
        <v>1.11375</v>
      </c>
      <c r="Y7" s="6" t="s">
        <v>68</v>
      </c>
      <c r="Z7" s="9">
        <f t="shared" si="17"/>
        <v>-1</v>
      </c>
      <c r="AA7" s="6" t="s">
        <v>67</v>
      </c>
      <c r="AB7" s="9">
        <f t="shared" si="9"/>
        <v>-0.33</v>
      </c>
      <c r="AC7" s="6" t="s">
        <v>66</v>
      </c>
      <c r="AD7" s="9">
        <f t="shared" si="10"/>
        <v>-0.66</v>
      </c>
      <c r="AE7" s="6" t="s">
        <v>67</v>
      </c>
      <c r="AF7" s="9">
        <f t="shared" si="11"/>
        <v>0.33</v>
      </c>
      <c r="AG7" s="6" t="s">
        <v>65</v>
      </c>
      <c r="AH7" s="9">
        <f t="shared" si="18"/>
        <v>-0.33</v>
      </c>
      <c r="AI7" s="6" t="s">
        <v>66</v>
      </c>
      <c r="AJ7" s="9">
        <f t="shared" si="19"/>
        <v>0.66</v>
      </c>
      <c r="AK7" s="6" t="s">
        <v>66</v>
      </c>
      <c r="AL7" s="9">
        <f t="shared" si="12"/>
        <v>0.66</v>
      </c>
      <c r="AM7" s="6" t="s">
        <v>67</v>
      </c>
      <c r="AN7" s="9">
        <f t="shared" si="13"/>
        <v>-0.33</v>
      </c>
      <c r="AO7" s="6" t="s">
        <v>67</v>
      </c>
      <c r="AP7" s="9">
        <f t="shared" si="14"/>
        <v>0.33</v>
      </c>
      <c r="AQ7">
        <f t="shared" si="15"/>
        <v>-0.66999999999999993</v>
      </c>
    </row>
    <row r="8" spans="1:43" ht="12.75" x14ac:dyDescent="0.2">
      <c r="A8" s="4">
        <v>45587.735633611112</v>
      </c>
      <c r="B8" s="5" t="s">
        <v>92</v>
      </c>
      <c r="C8" s="6">
        <v>2000</v>
      </c>
      <c r="D8" s="6" t="s">
        <v>59</v>
      </c>
      <c r="E8" s="6" t="s">
        <v>60</v>
      </c>
      <c r="F8" s="7" t="s">
        <v>143</v>
      </c>
      <c r="G8" s="6" t="s">
        <v>67</v>
      </c>
      <c r="H8" s="9">
        <f t="shared" si="0"/>
        <v>0.33</v>
      </c>
      <c r="I8" s="6" t="s">
        <v>70</v>
      </c>
      <c r="J8" s="9">
        <f t="shared" si="1"/>
        <v>-1</v>
      </c>
      <c r="K8" s="6" t="s">
        <v>66</v>
      </c>
      <c r="L8" s="9">
        <f t="shared" si="2"/>
        <v>-0.66</v>
      </c>
      <c r="M8" s="6" t="s">
        <v>67</v>
      </c>
      <c r="N8" s="9">
        <f t="shared" si="3"/>
        <v>0.33</v>
      </c>
      <c r="O8" s="6" t="s">
        <v>67</v>
      </c>
      <c r="P8" s="9">
        <f t="shared" si="4"/>
        <v>-0.33</v>
      </c>
      <c r="Q8" s="6" t="s">
        <v>66</v>
      </c>
      <c r="R8" s="9">
        <f t="shared" si="5"/>
        <v>0.66</v>
      </c>
      <c r="S8" s="6" t="s">
        <v>65</v>
      </c>
      <c r="T8" s="9">
        <f t="shared" si="6"/>
        <v>-0.33</v>
      </c>
      <c r="U8" s="6" t="s">
        <v>99</v>
      </c>
      <c r="V8" s="9">
        <f t="shared" si="20"/>
        <v>-0.33</v>
      </c>
      <c r="W8" s="6">
        <f t="shared" si="16"/>
        <v>-1.33</v>
      </c>
      <c r="X8" s="6">
        <f t="shared" si="8"/>
        <v>-1.4962500000000001</v>
      </c>
      <c r="Y8" s="6" t="s">
        <v>68</v>
      </c>
      <c r="Z8" s="9">
        <f t="shared" si="17"/>
        <v>-1</v>
      </c>
      <c r="AA8" s="6" t="s">
        <v>67</v>
      </c>
      <c r="AB8" s="9">
        <f t="shared" si="9"/>
        <v>-0.33</v>
      </c>
      <c r="AC8" s="6" t="s">
        <v>67</v>
      </c>
      <c r="AD8" s="9">
        <f t="shared" si="10"/>
        <v>-0.33</v>
      </c>
      <c r="AE8" s="6" t="s">
        <v>67</v>
      </c>
      <c r="AF8" s="9">
        <f t="shared" si="11"/>
        <v>0.33</v>
      </c>
      <c r="AG8" s="6" t="s">
        <v>67</v>
      </c>
      <c r="AH8" s="9">
        <f t="shared" si="18"/>
        <v>0.33</v>
      </c>
      <c r="AI8" s="6" t="s">
        <v>65</v>
      </c>
      <c r="AJ8" s="9">
        <f t="shared" si="19"/>
        <v>-0.33</v>
      </c>
      <c r="AK8" s="6" t="s">
        <v>70</v>
      </c>
      <c r="AL8" s="9">
        <f t="shared" si="12"/>
        <v>1</v>
      </c>
      <c r="AM8" s="6" t="s">
        <v>66</v>
      </c>
      <c r="AN8" s="9">
        <f t="shared" si="13"/>
        <v>-0.66</v>
      </c>
      <c r="AO8" s="6" t="s">
        <v>70</v>
      </c>
      <c r="AP8" s="9">
        <f t="shared" si="14"/>
        <v>1</v>
      </c>
      <c r="AQ8">
        <f t="shared" si="15"/>
        <v>9.9999999999997868E-3</v>
      </c>
    </row>
    <row r="9" spans="1:43" ht="12.75" x14ac:dyDescent="0.2">
      <c r="A9" s="4">
        <v>45594.631880138884</v>
      </c>
      <c r="B9" s="5" t="s">
        <v>97</v>
      </c>
      <c r="C9" s="6">
        <v>1999</v>
      </c>
      <c r="D9" s="6" t="s">
        <v>98</v>
      </c>
      <c r="E9" s="6" t="s">
        <v>60</v>
      </c>
      <c r="F9" s="7" t="s">
        <v>143</v>
      </c>
      <c r="G9" s="6" t="s">
        <v>66</v>
      </c>
      <c r="H9" s="9">
        <f t="shared" si="0"/>
        <v>0.66</v>
      </c>
      <c r="I9" s="6" t="s">
        <v>70</v>
      </c>
      <c r="J9" s="9">
        <f t="shared" si="1"/>
        <v>-1</v>
      </c>
      <c r="K9" s="6" t="s">
        <v>66</v>
      </c>
      <c r="L9" s="9">
        <f t="shared" si="2"/>
        <v>-0.66</v>
      </c>
      <c r="M9" s="6" t="s">
        <v>66</v>
      </c>
      <c r="N9" s="9">
        <f t="shared" si="3"/>
        <v>0.66</v>
      </c>
      <c r="O9" s="6" t="s">
        <v>68</v>
      </c>
      <c r="P9" s="9">
        <f t="shared" si="4"/>
        <v>1</v>
      </c>
      <c r="Q9" s="6" t="s">
        <v>66</v>
      </c>
      <c r="R9" s="9">
        <f t="shared" si="5"/>
        <v>0.66</v>
      </c>
      <c r="S9" s="6" t="s">
        <v>67</v>
      </c>
      <c r="T9" s="9">
        <f t="shared" si="6"/>
        <v>0.33</v>
      </c>
      <c r="U9" s="6" t="s">
        <v>65</v>
      </c>
      <c r="V9" s="9">
        <f t="shared" si="20"/>
        <v>0.33</v>
      </c>
      <c r="W9" s="6">
        <f t="shared" si="16"/>
        <v>1.9800000000000004</v>
      </c>
      <c r="X9" s="6">
        <f t="shared" si="8"/>
        <v>2.2275000000000005</v>
      </c>
      <c r="Y9" s="6" t="s">
        <v>68</v>
      </c>
      <c r="Z9" s="9">
        <f t="shared" si="17"/>
        <v>-1</v>
      </c>
      <c r="AA9" s="6" t="s">
        <v>68</v>
      </c>
      <c r="AB9" s="9">
        <f t="shared" si="9"/>
        <v>1</v>
      </c>
      <c r="AC9" s="6" t="s">
        <v>68</v>
      </c>
      <c r="AD9" s="9">
        <f t="shared" si="10"/>
        <v>1</v>
      </c>
      <c r="AE9" s="6" t="s">
        <v>68</v>
      </c>
      <c r="AF9" s="9">
        <f t="shared" si="11"/>
        <v>-1</v>
      </c>
      <c r="AG9" s="6" t="s">
        <v>70</v>
      </c>
      <c r="AH9" s="9">
        <f t="shared" si="18"/>
        <v>1</v>
      </c>
      <c r="AI9" s="6" t="s">
        <v>65</v>
      </c>
      <c r="AJ9" s="9">
        <f t="shared" si="19"/>
        <v>-0.33</v>
      </c>
      <c r="AK9" s="6" t="s">
        <v>70</v>
      </c>
      <c r="AL9" s="9">
        <f t="shared" si="12"/>
        <v>1</v>
      </c>
      <c r="AM9" s="6" t="s">
        <v>68</v>
      </c>
      <c r="AN9" s="9">
        <f t="shared" si="13"/>
        <v>1</v>
      </c>
      <c r="AO9" s="6" t="s">
        <v>68</v>
      </c>
      <c r="AP9" s="9">
        <f t="shared" si="14"/>
        <v>-1</v>
      </c>
      <c r="AQ9">
        <f t="shared" si="15"/>
        <v>1.67</v>
      </c>
    </row>
    <row r="10" spans="1:43" ht="12.75" x14ac:dyDescent="0.2">
      <c r="A10" s="4">
        <v>45587.738128391204</v>
      </c>
      <c r="B10" s="5" t="s">
        <v>100</v>
      </c>
      <c r="C10" s="6">
        <v>2001</v>
      </c>
      <c r="D10" s="6" t="s">
        <v>80</v>
      </c>
      <c r="E10" s="6" t="s">
        <v>85</v>
      </c>
      <c r="F10" s="7" t="s">
        <v>143</v>
      </c>
      <c r="G10" s="6" t="s">
        <v>66</v>
      </c>
      <c r="H10" s="9">
        <f t="shared" si="0"/>
        <v>0.66</v>
      </c>
      <c r="I10" s="6" t="s">
        <v>67</v>
      </c>
      <c r="J10" s="9">
        <f t="shared" si="1"/>
        <v>-0.33</v>
      </c>
      <c r="K10" s="6" t="s">
        <v>67</v>
      </c>
      <c r="L10" s="9">
        <f t="shared" si="2"/>
        <v>-0.33</v>
      </c>
      <c r="M10" s="6" t="s">
        <v>67</v>
      </c>
      <c r="N10" s="9">
        <f t="shared" si="3"/>
        <v>0.33</v>
      </c>
      <c r="O10" s="6" t="s">
        <v>66</v>
      </c>
      <c r="P10" s="9">
        <f t="shared" si="4"/>
        <v>-0.66</v>
      </c>
      <c r="Q10" s="6" t="s">
        <v>66</v>
      </c>
      <c r="R10" s="9">
        <f t="shared" si="5"/>
        <v>0.66</v>
      </c>
      <c r="S10" s="6" t="s">
        <v>65</v>
      </c>
      <c r="T10" s="9">
        <f t="shared" si="6"/>
        <v>-0.33</v>
      </c>
      <c r="U10" s="6" t="s">
        <v>66</v>
      </c>
      <c r="V10" s="9">
        <f t="shared" si="20"/>
        <v>-0.66</v>
      </c>
      <c r="W10" s="6">
        <f t="shared" si="16"/>
        <v>-0.66</v>
      </c>
      <c r="X10" s="6">
        <f t="shared" si="8"/>
        <v>-0.74250000000000005</v>
      </c>
      <c r="Y10" s="6" t="s">
        <v>69</v>
      </c>
      <c r="Z10" s="9">
        <f t="shared" si="17"/>
        <v>-0.66</v>
      </c>
      <c r="AA10" s="6" t="s">
        <v>66</v>
      </c>
      <c r="AB10" s="9">
        <f t="shared" si="9"/>
        <v>-0.66</v>
      </c>
      <c r="AC10" s="6" t="s">
        <v>67</v>
      </c>
      <c r="AD10" s="9">
        <f t="shared" si="10"/>
        <v>-0.33</v>
      </c>
      <c r="AE10" s="6" t="s">
        <v>66</v>
      </c>
      <c r="AF10" s="9">
        <f t="shared" si="11"/>
        <v>0.66</v>
      </c>
      <c r="AG10" s="6" t="s">
        <v>65</v>
      </c>
      <c r="AH10" s="9">
        <f t="shared" si="18"/>
        <v>-0.33</v>
      </c>
      <c r="AI10" s="6" t="s">
        <v>67</v>
      </c>
      <c r="AJ10" s="9">
        <f t="shared" si="19"/>
        <v>0.33</v>
      </c>
      <c r="AK10" s="6" t="s">
        <v>66</v>
      </c>
      <c r="AL10" s="9">
        <f t="shared" si="12"/>
        <v>0.66</v>
      </c>
      <c r="AM10" s="6" t="s">
        <v>66</v>
      </c>
      <c r="AN10" s="9">
        <f t="shared" si="13"/>
        <v>-0.66</v>
      </c>
      <c r="AO10" s="6" t="s">
        <v>67</v>
      </c>
      <c r="AP10" s="9">
        <f t="shared" si="14"/>
        <v>0.33</v>
      </c>
      <c r="AQ10">
        <f t="shared" si="15"/>
        <v>-0.66000000000000014</v>
      </c>
    </row>
    <row r="11" spans="1:43" ht="12.75" x14ac:dyDescent="0.2">
      <c r="A11" s="4">
        <v>45590.798505115745</v>
      </c>
      <c r="B11" s="5" t="s">
        <v>103</v>
      </c>
      <c r="C11" s="6">
        <v>2001</v>
      </c>
      <c r="D11" s="6" t="s">
        <v>80</v>
      </c>
      <c r="E11" s="6" t="s">
        <v>85</v>
      </c>
      <c r="F11" s="7" t="s">
        <v>143</v>
      </c>
      <c r="G11" s="6" t="s">
        <v>70</v>
      </c>
      <c r="H11" s="9">
        <f t="shared" si="0"/>
        <v>1</v>
      </c>
      <c r="I11" s="6" t="s">
        <v>70</v>
      </c>
      <c r="J11" s="9">
        <f t="shared" si="1"/>
        <v>-1</v>
      </c>
      <c r="K11" s="6" t="s">
        <v>70</v>
      </c>
      <c r="L11" s="9">
        <f t="shared" si="2"/>
        <v>-1</v>
      </c>
      <c r="M11" s="6" t="s">
        <v>67</v>
      </c>
      <c r="N11" s="9">
        <f t="shared" si="3"/>
        <v>0.33</v>
      </c>
      <c r="O11" s="6" t="s">
        <v>69</v>
      </c>
      <c r="P11" s="9">
        <f t="shared" si="4"/>
        <v>0.66</v>
      </c>
      <c r="Q11" s="6" t="s">
        <v>66</v>
      </c>
      <c r="R11" s="9">
        <f t="shared" si="5"/>
        <v>0.66</v>
      </c>
      <c r="S11" s="6" t="s">
        <v>66</v>
      </c>
      <c r="T11" s="9">
        <f t="shared" si="6"/>
        <v>0.66</v>
      </c>
      <c r="U11" s="6" t="s">
        <v>99</v>
      </c>
      <c r="V11" s="9">
        <f t="shared" si="20"/>
        <v>-0.33</v>
      </c>
      <c r="W11" s="6">
        <f t="shared" si="16"/>
        <v>0.98</v>
      </c>
      <c r="X11" s="6">
        <f t="shared" si="8"/>
        <v>1.1025</v>
      </c>
      <c r="Y11" s="6" t="s">
        <v>68</v>
      </c>
      <c r="Z11" s="9">
        <f t="shared" si="17"/>
        <v>-1</v>
      </c>
      <c r="AA11" s="6" t="s">
        <v>65</v>
      </c>
      <c r="AB11" s="9">
        <f t="shared" si="9"/>
        <v>0.33</v>
      </c>
      <c r="AC11" s="6" t="s">
        <v>69</v>
      </c>
      <c r="AD11" s="9">
        <f t="shared" si="10"/>
        <v>0.66</v>
      </c>
      <c r="AE11" s="6" t="s">
        <v>66</v>
      </c>
      <c r="AF11" s="9">
        <f t="shared" si="11"/>
        <v>0.66</v>
      </c>
      <c r="AG11" s="6" t="s">
        <v>65</v>
      </c>
      <c r="AH11" s="9">
        <f t="shared" si="18"/>
        <v>-0.33</v>
      </c>
      <c r="AI11" s="6" t="s">
        <v>65</v>
      </c>
      <c r="AJ11" s="9">
        <f t="shared" si="19"/>
        <v>-0.33</v>
      </c>
      <c r="AK11" s="6" t="s">
        <v>70</v>
      </c>
      <c r="AL11" s="9">
        <f t="shared" si="12"/>
        <v>1</v>
      </c>
      <c r="AM11" s="6" t="s">
        <v>68</v>
      </c>
      <c r="AN11" s="9">
        <f t="shared" si="13"/>
        <v>1</v>
      </c>
      <c r="AO11" s="6" t="s">
        <v>68</v>
      </c>
      <c r="AP11" s="9">
        <f t="shared" si="14"/>
        <v>-1</v>
      </c>
      <c r="AQ11">
        <f t="shared" si="15"/>
        <v>0.99000000000000021</v>
      </c>
    </row>
    <row r="12" spans="1:43" ht="12.75" x14ac:dyDescent="0.2">
      <c r="A12" s="4">
        <v>45589.015636736112</v>
      </c>
      <c r="B12" s="5" t="s">
        <v>105</v>
      </c>
      <c r="C12" s="6">
        <v>2002</v>
      </c>
      <c r="D12" s="6" t="s">
        <v>80</v>
      </c>
      <c r="E12" s="6" t="s">
        <v>60</v>
      </c>
      <c r="F12" s="7" t="s">
        <v>143</v>
      </c>
      <c r="G12" s="6" t="s">
        <v>67</v>
      </c>
      <c r="H12" s="9">
        <f t="shared" si="0"/>
        <v>0.33</v>
      </c>
      <c r="I12" s="6" t="s">
        <v>70</v>
      </c>
      <c r="J12" s="9">
        <f t="shared" si="1"/>
        <v>-1</v>
      </c>
      <c r="K12" s="6" t="s">
        <v>65</v>
      </c>
      <c r="L12" s="9">
        <f t="shared" si="2"/>
        <v>0.33</v>
      </c>
      <c r="M12" s="6" t="s">
        <v>66</v>
      </c>
      <c r="N12" s="9">
        <f t="shared" si="3"/>
        <v>0.66</v>
      </c>
      <c r="O12" s="6" t="s">
        <v>67</v>
      </c>
      <c r="P12" s="9">
        <f t="shared" si="4"/>
        <v>-0.33</v>
      </c>
      <c r="Q12" s="6" t="s">
        <v>67</v>
      </c>
      <c r="R12" s="9">
        <f t="shared" si="5"/>
        <v>0.33</v>
      </c>
      <c r="S12" s="6" t="s">
        <v>69</v>
      </c>
      <c r="T12" s="9">
        <f t="shared" si="6"/>
        <v>-0.66</v>
      </c>
      <c r="U12" s="6" t="s">
        <v>99</v>
      </c>
      <c r="V12" s="9">
        <f t="shared" si="20"/>
        <v>-0.33</v>
      </c>
      <c r="W12" s="6">
        <f t="shared" si="16"/>
        <v>-0.66999999999999993</v>
      </c>
      <c r="X12" s="6">
        <f t="shared" si="8"/>
        <v>-0.75374999999999992</v>
      </c>
      <c r="Y12" s="6" t="s">
        <v>69</v>
      </c>
      <c r="Z12" s="9">
        <f t="shared" si="17"/>
        <v>-0.66</v>
      </c>
      <c r="AA12" s="6" t="s">
        <v>65</v>
      </c>
      <c r="AB12" s="9">
        <f t="shared" si="9"/>
        <v>0.33</v>
      </c>
      <c r="AC12" s="6" t="s">
        <v>69</v>
      </c>
      <c r="AD12" s="9">
        <f t="shared" si="10"/>
        <v>0.66</v>
      </c>
      <c r="AE12" s="6" t="s">
        <v>66</v>
      </c>
      <c r="AF12" s="9">
        <f t="shared" si="11"/>
        <v>0.66</v>
      </c>
      <c r="AG12" s="6" t="s">
        <v>66</v>
      </c>
      <c r="AH12" s="9">
        <f t="shared" si="18"/>
        <v>0.66</v>
      </c>
      <c r="AI12" s="6" t="s">
        <v>69</v>
      </c>
      <c r="AJ12" s="9">
        <f t="shared" si="19"/>
        <v>-0.66</v>
      </c>
      <c r="AK12" s="6" t="s">
        <v>67</v>
      </c>
      <c r="AL12" s="9">
        <f t="shared" si="12"/>
        <v>0.33</v>
      </c>
      <c r="AM12" s="6" t="s">
        <v>69</v>
      </c>
      <c r="AN12" s="9">
        <f t="shared" si="13"/>
        <v>0.66</v>
      </c>
      <c r="AO12" s="6" t="s">
        <v>66</v>
      </c>
      <c r="AP12" s="9">
        <f t="shared" si="14"/>
        <v>0.66</v>
      </c>
      <c r="AQ12">
        <f t="shared" si="15"/>
        <v>2.64</v>
      </c>
    </row>
    <row r="13" spans="1:43" ht="12.75" x14ac:dyDescent="0.2">
      <c r="A13" s="4">
        <v>45597.796525648148</v>
      </c>
      <c r="B13" s="5" t="s">
        <v>106</v>
      </c>
      <c r="C13" s="6">
        <v>2002</v>
      </c>
      <c r="D13" s="6" t="s">
        <v>80</v>
      </c>
      <c r="E13" s="6" t="s">
        <v>85</v>
      </c>
      <c r="F13" s="7" t="s">
        <v>143</v>
      </c>
      <c r="G13" s="6" t="s">
        <v>70</v>
      </c>
      <c r="H13" s="9">
        <f t="shared" si="0"/>
        <v>1</v>
      </c>
      <c r="I13" s="6" t="s">
        <v>70</v>
      </c>
      <c r="J13" s="9">
        <f t="shared" si="1"/>
        <v>-1</v>
      </c>
      <c r="K13" s="6" t="s">
        <v>67</v>
      </c>
      <c r="L13" s="9">
        <f t="shared" si="2"/>
        <v>-0.33</v>
      </c>
      <c r="M13" s="6" t="s">
        <v>70</v>
      </c>
      <c r="N13" s="9">
        <f t="shared" si="3"/>
        <v>1</v>
      </c>
      <c r="O13" s="6" t="s">
        <v>70</v>
      </c>
      <c r="P13" s="9">
        <f t="shared" si="4"/>
        <v>-1</v>
      </c>
      <c r="Q13" s="6" t="s">
        <v>68</v>
      </c>
      <c r="R13" s="9">
        <f t="shared" si="5"/>
        <v>-1</v>
      </c>
      <c r="S13" s="6" t="s">
        <v>69</v>
      </c>
      <c r="T13" s="9">
        <f t="shared" si="6"/>
        <v>-0.66</v>
      </c>
      <c r="U13" s="6" t="s">
        <v>70</v>
      </c>
      <c r="V13" s="9">
        <f t="shared" si="20"/>
        <v>-1</v>
      </c>
      <c r="W13" s="6">
        <f t="shared" si="16"/>
        <v>-2.99</v>
      </c>
      <c r="X13" s="6">
        <f t="shared" si="8"/>
        <v>-3.3637500000000005</v>
      </c>
      <c r="Y13" s="6" t="s">
        <v>69</v>
      </c>
      <c r="Z13" s="9">
        <f t="shared" si="17"/>
        <v>-0.66</v>
      </c>
      <c r="AA13" s="6" t="s">
        <v>68</v>
      </c>
      <c r="AB13" s="9">
        <f t="shared" si="9"/>
        <v>1</v>
      </c>
      <c r="AC13" s="6" t="s">
        <v>65</v>
      </c>
      <c r="AD13" s="9">
        <f t="shared" si="10"/>
        <v>0.33</v>
      </c>
      <c r="AE13" s="6" t="s">
        <v>66</v>
      </c>
      <c r="AF13" s="9">
        <f t="shared" si="11"/>
        <v>0.66</v>
      </c>
      <c r="AG13" s="6" t="s">
        <v>67</v>
      </c>
      <c r="AH13" s="9">
        <f t="shared" si="18"/>
        <v>0.33</v>
      </c>
      <c r="AI13" s="6" t="s">
        <v>70</v>
      </c>
      <c r="AJ13" s="9">
        <f t="shared" si="19"/>
        <v>1</v>
      </c>
      <c r="AK13" s="6" t="s">
        <v>66</v>
      </c>
      <c r="AL13" s="9">
        <f t="shared" si="12"/>
        <v>0.66</v>
      </c>
      <c r="AM13" s="6" t="s">
        <v>67</v>
      </c>
      <c r="AN13" s="9">
        <f t="shared" si="13"/>
        <v>-0.33</v>
      </c>
      <c r="AO13" s="6" t="s">
        <v>69</v>
      </c>
      <c r="AP13" s="9">
        <f t="shared" si="14"/>
        <v>-0.66</v>
      </c>
      <c r="AQ13">
        <f t="shared" si="15"/>
        <v>2.33</v>
      </c>
    </row>
    <row r="14" spans="1:43" ht="12.75" x14ac:dyDescent="0.2">
      <c r="A14" s="4">
        <v>45588.342793055555</v>
      </c>
      <c r="B14" s="5" t="s">
        <v>107</v>
      </c>
      <c r="C14" s="6">
        <v>2002</v>
      </c>
      <c r="D14" s="6" t="s">
        <v>80</v>
      </c>
      <c r="E14" s="6" t="s">
        <v>60</v>
      </c>
      <c r="F14" s="7" t="s">
        <v>143</v>
      </c>
      <c r="G14" s="6" t="s">
        <v>65</v>
      </c>
      <c r="H14" s="9">
        <f t="shared" si="0"/>
        <v>-0.33</v>
      </c>
      <c r="I14" s="6" t="s">
        <v>67</v>
      </c>
      <c r="J14" s="9">
        <f t="shared" si="1"/>
        <v>-0.33</v>
      </c>
      <c r="K14" s="6" t="s">
        <v>69</v>
      </c>
      <c r="L14" s="9">
        <f t="shared" si="2"/>
        <v>0.66</v>
      </c>
      <c r="M14" s="6" t="s">
        <v>69</v>
      </c>
      <c r="N14" s="9">
        <f t="shared" si="3"/>
        <v>-0.66</v>
      </c>
      <c r="O14" s="6" t="s">
        <v>66</v>
      </c>
      <c r="P14" s="9">
        <f t="shared" si="4"/>
        <v>-0.66</v>
      </c>
      <c r="Q14" s="6" t="s">
        <v>67</v>
      </c>
      <c r="R14" s="9">
        <f t="shared" si="5"/>
        <v>0.33</v>
      </c>
      <c r="S14" s="6" t="s">
        <v>69</v>
      </c>
      <c r="T14" s="9">
        <f t="shared" si="6"/>
        <v>-0.66</v>
      </c>
      <c r="U14" s="6" t="s">
        <v>69</v>
      </c>
      <c r="V14" s="9">
        <f t="shared" si="20"/>
        <v>0.66</v>
      </c>
      <c r="W14" s="6">
        <f t="shared" si="16"/>
        <v>-0.99</v>
      </c>
      <c r="X14" s="6">
        <f t="shared" si="8"/>
        <v>-1.11375</v>
      </c>
      <c r="Y14" s="6" t="s">
        <v>69</v>
      </c>
      <c r="Z14" s="9">
        <f t="shared" si="17"/>
        <v>-0.66</v>
      </c>
      <c r="AA14" s="6" t="s">
        <v>65</v>
      </c>
      <c r="AB14" s="9">
        <f t="shared" si="9"/>
        <v>0.33</v>
      </c>
      <c r="AC14" s="6" t="s">
        <v>67</v>
      </c>
      <c r="AD14" s="9">
        <f t="shared" si="10"/>
        <v>-0.33</v>
      </c>
      <c r="AE14" s="6" t="s">
        <v>65</v>
      </c>
      <c r="AF14" s="9">
        <f t="shared" si="11"/>
        <v>-0.33</v>
      </c>
      <c r="AG14" s="6" t="s">
        <v>67</v>
      </c>
      <c r="AH14" s="9">
        <f t="shared" si="18"/>
        <v>0.33</v>
      </c>
      <c r="AI14" s="6" t="s">
        <v>69</v>
      </c>
      <c r="AJ14" s="9">
        <f t="shared" si="19"/>
        <v>-0.66</v>
      </c>
      <c r="AK14" s="6" t="s">
        <v>65</v>
      </c>
      <c r="AL14" s="9">
        <f t="shared" si="12"/>
        <v>-0.33</v>
      </c>
      <c r="AM14" s="6" t="s">
        <v>69</v>
      </c>
      <c r="AN14" s="9">
        <f t="shared" si="13"/>
        <v>0.66</v>
      </c>
      <c r="AO14" s="6" t="s">
        <v>69</v>
      </c>
      <c r="AP14" s="9">
        <f t="shared" si="14"/>
        <v>-0.66</v>
      </c>
      <c r="AQ14">
        <f t="shared" si="15"/>
        <v>-1.65</v>
      </c>
    </row>
    <row r="15" spans="1:43" ht="12.75" x14ac:dyDescent="0.2">
      <c r="A15" s="4">
        <v>45595.347928738425</v>
      </c>
      <c r="B15" s="5" t="s">
        <v>108</v>
      </c>
      <c r="C15" s="6">
        <v>2003</v>
      </c>
      <c r="D15" s="6" t="s">
        <v>80</v>
      </c>
      <c r="E15" s="6" t="s">
        <v>60</v>
      </c>
      <c r="F15" s="7" t="s">
        <v>143</v>
      </c>
      <c r="G15" s="6" t="s">
        <v>67</v>
      </c>
      <c r="H15" s="9">
        <f t="shared" si="0"/>
        <v>0.33</v>
      </c>
      <c r="I15" s="6" t="s">
        <v>70</v>
      </c>
      <c r="J15" s="9">
        <f t="shared" si="1"/>
        <v>-1</v>
      </c>
      <c r="K15" s="6" t="s">
        <v>67</v>
      </c>
      <c r="L15" s="9">
        <f t="shared" si="2"/>
        <v>-0.33</v>
      </c>
      <c r="M15" s="6" t="s">
        <v>66</v>
      </c>
      <c r="N15" s="9">
        <f t="shared" si="3"/>
        <v>0.66</v>
      </c>
      <c r="O15" s="6" t="s">
        <v>65</v>
      </c>
      <c r="P15" s="9">
        <f t="shared" si="4"/>
        <v>0.33</v>
      </c>
      <c r="Q15" s="6" t="s">
        <v>66</v>
      </c>
      <c r="R15" s="9">
        <f t="shared" si="5"/>
        <v>0.66</v>
      </c>
      <c r="S15" s="6" t="s">
        <v>67</v>
      </c>
      <c r="T15" s="9">
        <f t="shared" si="6"/>
        <v>0.33</v>
      </c>
      <c r="U15" s="6" t="s">
        <v>66</v>
      </c>
      <c r="V15" s="9">
        <f t="shared" si="20"/>
        <v>-0.66</v>
      </c>
      <c r="W15" s="6">
        <f t="shared" si="16"/>
        <v>0.32</v>
      </c>
      <c r="X15" s="6">
        <f t="shared" si="8"/>
        <v>0.36</v>
      </c>
      <c r="Y15" s="6" t="s">
        <v>69</v>
      </c>
      <c r="Z15" s="9">
        <f t="shared" si="17"/>
        <v>-0.66</v>
      </c>
      <c r="AA15" s="6" t="s">
        <v>68</v>
      </c>
      <c r="AB15" s="9">
        <f t="shared" si="9"/>
        <v>1</v>
      </c>
      <c r="AC15" s="6" t="s">
        <v>67</v>
      </c>
      <c r="AD15" s="9">
        <f t="shared" si="10"/>
        <v>-0.33</v>
      </c>
      <c r="AE15" s="6" t="s">
        <v>65</v>
      </c>
      <c r="AF15" s="9">
        <f t="shared" si="11"/>
        <v>-0.33</v>
      </c>
      <c r="AG15" s="6" t="s">
        <v>65</v>
      </c>
      <c r="AH15" s="9">
        <f t="shared" si="18"/>
        <v>-0.33</v>
      </c>
      <c r="AI15" s="6" t="s">
        <v>67</v>
      </c>
      <c r="AJ15" s="9">
        <f t="shared" si="19"/>
        <v>0.33</v>
      </c>
      <c r="AK15" s="6" t="s">
        <v>69</v>
      </c>
      <c r="AL15" s="9">
        <f t="shared" si="12"/>
        <v>-0.66</v>
      </c>
      <c r="AM15" s="6" t="s">
        <v>69</v>
      </c>
      <c r="AN15" s="9">
        <f t="shared" si="13"/>
        <v>0.66</v>
      </c>
      <c r="AO15" s="6" t="s">
        <v>68</v>
      </c>
      <c r="AP15" s="9">
        <f t="shared" si="14"/>
        <v>-1</v>
      </c>
      <c r="AQ15">
        <f t="shared" si="15"/>
        <v>-1.3200000000000003</v>
      </c>
    </row>
    <row r="16" spans="1:43" ht="12.75" x14ac:dyDescent="0.2">
      <c r="A16" s="4">
        <v>45587.738581678241</v>
      </c>
      <c r="B16" s="5" t="s">
        <v>111</v>
      </c>
      <c r="C16" s="6">
        <v>2002</v>
      </c>
      <c r="D16" s="6" t="s">
        <v>80</v>
      </c>
      <c r="E16" s="6" t="s">
        <v>60</v>
      </c>
      <c r="F16" s="7" t="s">
        <v>143</v>
      </c>
      <c r="G16" s="6" t="s">
        <v>67</v>
      </c>
      <c r="H16" s="9">
        <f t="shared" si="0"/>
        <v>0.33</v>
      </c>
      <c r="I16" s="6" t="s">
        <v>70</v>
      </c>
      <c r="J16" s="9">
        <f t="shared" si="1"/>
        <v>-1</v>
      </c>
      <c r="K16" s="6" t="s">
        <v>69</v>
      </c>
      <c r="L16" s="9">
        <f t="shared" si="2"/>
        <v>0.66</v>
      </c>
      <c r="M16" s="6" t="s">
        <v>67</v>
      </c>
      <c r="N16" s="9">
        <f t="shared" si="3"/>
        <v>0.33</v>
      </c>
      <c r="O16" s="6" t="s">
        <v>66</v>
      </c>
      <c r="P16" s="9">
        <f t="shared" si="4"/>
        <v>-0.66</v>
      </c>
      <c r="Q16" s="6" t="s">
        <v>66</v>
      </c>
      <c r="R16" s="9">
        <f t="shared" si="5"/>
        <v>0.66</v>
      </c>
      <c r="S16" s="6" t="s">
        <v>65</v>
      </c>
      <c r="T16" s="9">
        <f t="shared" si="6"/>
        <v>-0.33</v>
      </c>
      <c r="U16" s="6" t="s">
        <v>65</v>
      </c>
      <c r="V16" s="9">
        <f t="shared" si="20"/>
        <v>0.33</v>
      </c>
      <c r="W16" s="6">
        <f t="shared" si="16"/>
        <v>0.32</v>
      </c>
      <c r="X16" s="6">
        <f t="shared" si="8"/>
        <v>0.36</v>
      </c>
      <c r="Y16" s="6" t="s">
        <v>68</v>
      </c>
      <c r="Z16" s="9">
        <f t="shared" si="17"/>
        <v>-1</v>
      </c>
      <c r="AA16" s="6" t="s">
        <v>68</v>
      </c>
      <c r="AB16" s="9">
        <f t="shared" si="9"/>
        <v>1</v>
      </c>
      <c r="AC16" s="6" t="s">
        <v>69</v>
      </c>
      <c r="AD16" s="9">
        <f t="shared" si="10"/>
        <v>0.66</v>
      </c>
      <c r="AE16" s="6" t="s">
        <v>65</v>
      </c>
      <c r="AF16" s="9">
        <f t="shared" si="11"/>
        <v>-0.33</v>
      </c>
      <c r="AG16" s="6" t="s">
        <v>66</v>
      </c>
      <c r="AH16" s="9">
        <f t="shared" si="18"/>
        <v>0.66</v>
      </c>
      <c r="AI16" s="6" t="s">
        <v>66</v>
      </c>
      <c r="AJ16" s="9">
        <f t="shared" si="19"/>
        <v>0.66</v>
      </c>
      <c r="AK16" s="6" t="s">
        <v>70</v>
      </c>
      <c r="AL16" s="9">
        <f t="shared" si="12"/>
        <v>1</v>
      </c>
      <c r="AM16" s="6" t="s">
        <v>68</v>
      </c>
      <c r="AN16" s="9">
        <f t="shared" si="13"/>
        <v>1</v>
      </c>
      <c r="AO16" s="6" t="s">
        <v>68</v>
      </c>
      <c r="AP16" s="9">
        <f t="shared" si="14"/>
        <v>-1</v>
      </c>
      <c r="AQ16">
        <f t="shared" si="15"/>
        <v>2.6500000000000004</v>
      </c>
    </row>
    <row r="17" spans="1:43" ht="12.75" x14ac:dyDescent="0.2">
      <c r="A17" s="4">
        <v>45595.503387939811</v>
      </c>
      <c r="B17" s="5" t="s">
        <v>112</v>
      </c>
      <c r="C17" s="6">
        <v>2001</v>
      </c>
      <c r="D17" s="6" t="s">
        <v>80</v>
      </c>
      <c r="E17" s="6" t="s">
        <v>85</v>
      </c>
      <c r="F17" s="7" t="s">
        <v>143</v>
      </c>
      <c r="G17" s="6" t="s">
        <v>67</v>
      </c>
      <c r="H17" s="9">
        <f t="shared" si="0"/>
        <v>0.33</v>
      </c>
      <c r="I17" s="6" t="s">
        <v>67</v>
      </c>
      <c r="J17" s="9">
        <f t="shared" si="1"/>
        <v>-0.33</v>
      </c>
      <c r="K17" s="6" t="s">
        <v>67</v>
      </c>
      <c r="L17" s="9">
        <f t="shared" si="2"/>
        <v>-0.33</v>
      </c>
      <c r="M17" s="6" t="s">
        <v>69</v>
      </c>
      <c r="N17" s="9">
        <f t="shared" si="3"/>
        <v>-0.66</v>
      </c>
      <c r="O17" s="6" t="s">
        <v>70</v>
      </c>
      <c r="P17" s="9">
        <f t="shared" si="4"/>
        <v>-1</v>
      </c>
      <c r="Q17" s="6" t="s">
        <v>67</v>
      </c>
      <c r="R17" s="9">
        <f t="shared" si="5"/>
        <v>0.33</v>
      </c>
      <c r="S17" s="6" t="s">
        <v>65</v>
      </c>
      <c r="T17" s="9">
        <f t="shared" si="6"/>
        <v>-0.33</v>
      </c>
      <c r="U17" s="6" t="s">
        <v>65</v>
      </c>
      <c r="V17" s="9">
        <f t="shared" si="20"/>
        <v>0.33</v>
      </c>
      <c r="W17" s="6">
        <f t="shared" si="16"/>
        <v>-1.6600000000000001</v>
      </c>
      <c r="X17" s="6">
        <f t="shared" si="8"/>
        <v>-1.8675000000000002</v>
      </c>
      <c r="Y17" s="6" t="s">
        <v>68</v>
      </c>
      <c r="Z17" s="9">
        <f t="shared" si="17"/>
        <v>-1</v>
      </c>
      <c r="AA17" s="6" t="s">
        <v>68</v>
      </c>
      <c r="AB17" s="9">
        <f t="shared" si="9"/>
        <v>1</v>
      </c>
      <c r="AC17" s="6" t="s">
        <v>69</v>
      </c>
      <c r="AD17" s="9">
        <f t="shared" si="10"/>
        <v>0.66</v>
      </c>
      <c r="AE17" s="6" t="s">
        <v>67</v>
      </c>
      <c r="AF17" s="9">
        <f t="shared" si="11"/>
        <v>0.33</v>
      </c>
      <c r="AG17" s="6" t="s">
        <v>65</v>
      </c>
      <c r="AH17" s="9">
        <f t="shared" si="18"/>
        <v>-0.33</v>
      </c>
      <c r="AI17" s="6" t="s">
        <v>67</v>
      </c>
      <c r="AJ17" s="9">
        <f t="shared" si="19"/>
        <v>0.33</v>
      </c>
      <c r="AK17" s="6" t="s">
        <v>66</v>
      </c>
      <c r="AL17" s="9">
        <f t="shared" si="12"/>
        <v>0.66</v>
      </c>
      <c r="AM17" s="6" t="s">
        <v>65</v>
      </c>
      <c r="AN17" s="9">
        <f t="shared" si="13"/>
        <v>0.33</v>
      </c>
      <c r="AO17" s="6" t="s">
        <v>67</v>
      </c>
      <c r="AP17" s="9">
        <f t="shared" si="14"/>
        <v>0.33</v>
      </c>
      <c r="AQ17">
        <f t="shared" si="15"/>
        <v>2.31</v>
      </c>
    </row>
    <row r="18" spans="1:43" ht="12.75" x14ac:dyDescent="0.2">
      <c r="A18" s="4">
        <v>45587.736461550929</v>
      </c>
      <c r="B18" s="5" t="s">
        <v>113</v>
      </c>
      <c r="C18" s="6">
        <v>2003</v>
      </c>
      <c r="D18" s="6" t="s">
        <v>98</v>
      </c>
      <c r="E18" s="6" t="s">
        <v>60</v>
      </c>
      <c r="F18" s="7" t="s">
        <v>143</v>
      </c>
      <c r="G18" s="6" t="s">
        <v>67</v>
      </c>
      <c r="H18" s="9">
        <f t="shared" si="0"/>
        <v>0.33</v>
      </c>
      <c r="I18" s="6" t="s">
        <v>70</v>
      </c>
      <c r="J18" s="9">
        <f t="shared" si="1"/>
        <v>-1</v>
      </c>
      <c r="K18" s="6" t="s">
        <v>69</v>
      </c>
      <c r="L18" s="9">
        <f t="shared" si="2"/>
        <v>0.66</v>
      </c>
      <c r="M18" s="6" t="s">
        <v>67</v>
      </c>
      <c r="N18" s="9">
        <f t="shared" si="3"/>
        <v>0.33</v>
      </c>
      <c r="O18" s="6" t="s">
        <v>66</v>
      </c>
      <c r="P18" s="9">
        <f t="shared" si="4"/>
        <v>-0.66</v>
      </c>
      <c r="Q18" s="6" t="s">
        <v>67</v>
      </c>
      <c r="R18" s="9">
        <f t="shared" si="5"/>
        <v>0.33</v>
      </c>
      <c r="S18" s="6" t="s">
        <v>66</v>
      </c>
      <c r="T18" s="9">
        <f t="shared" si="6"/>
        <v>0.66</v>
      </c>
      <c r="U18" s="6" t="s">
        <v>68</v>
      </c>
      <c r="V18" s="9">
        <f t="shared" si="20"/>
        <v>1</v>
      </c>
      <c r="W18" s="6">
        <f t="shared" si="16"/>
        <v>1.6500000000000004</v>
      </c>
      <c r="X18" s="6">
        <f t="shared" si="8"/>
        <v>1.8562500000000004</v>
      </c>
      <c r="Y18" s="6" t="s">
        <v>68</v>
      </c>
      <c r="Z18" s="9">
        <f t="shared" si="17"/>
        <v>-1</v>
      </c>
      <c r="AA18" s="6" t="s">
        <v>68</v>
      </c>
      <c r="AB18" s="9">
        <f t="shared" si="9"/>
        <v>1</v>
      </c>
      <c r="AC18" s="6" t="s">
        <v>69</v>
      </c>
      <c r="AD18" s="9">
        <f t="shared" si="10"/>
        <v>0.66</v>
      </c>
      <c r="AE18" s="6" t="s">
        <v>65</v>
      </c>
      <c r="AF18" s="9">
        <f t="shared" si="11"/>
        <v>-0.33</v>
      </c>
      <c r="AG18" s="6" t="s">
        <v>70</v>
      </c>
      <c r="AH18" s="9">
        <f t="shared" si="18"/>
        <v>1</v>
      </c>
      <c r="AI18" s="6" t="s">
        <v>70</v>
      </c>
      <c r="AJ18" s="9">
        <f t="shared" si="19"/>
        <v>1</v>
      </c>
      <c r="AK18" s="6" t="s">
        <v>67</v>
      </c>
      <c r="AL18" s="9">
        <f t="shared" si="12"/>
        <v>0.33</v>
      </c>
      <c r="AM18" s="6" t="s">
        <v>68</v>
      </c>
      <c r="AN18" s="9">
        <f t="shared" si="13"/>
        <v>1</v>
      </c>
      <c r="AO18" s="6" t="s">
        <v>70</v>
      </c>
      <c r="AP18" s="9">
        <f t="shared" si="14"/>
        <v>1</v>
      </c>
      <c r="AQ18">
        <f t="shared" si="15"/>
        <v>4.66</v>
      </c>
    </row>
    <row r="19" spans="1:43" ht="12.75" x14ac:dyDescent="0.2">
      <c r="A19" s="4">
        <v>45590.692340937501</v>
      </c>
      <c r="B19" s="5" t="s">
        <v>114</v>
      </c>
      <c r="C19" s="6">
        <v>2002</v>
      </c>
      <c r="D19" s="6" t="s">
        <v>80</v>
      </c>
      <c r="E19" s="6" t="s">
        <v>60</v>
      </c>
      <c r="F19" s="7" t="s">
        <v>143</v>
      </c>
      <c r="G19" s="6" t="s">
        <v>66</v>
      </c>
      <c r="H19" s="9">
        <f t="shared" si="0"/>
        <v>0.66</v>
      </c>
      <c r="I19" s="6" t="s">
        <v>70</v>
      </c>
      <c r="J19" s="9">
        <f t="shared" si="1"/>
        <v>-1</v>
      </c>
      <c r="K19" s="6" t="s">
        <v>67</v>
      </c>
      <c r="L19" s="9">
        <f t="shared" si="2"/>
        <v>-0.33</v>
      </c>
      <c r="M19" s="6" t="s">
        <v>66</v>
      </c>
      <c r="N19" s="9">
        <f t="shared" si="3"/>
        <v>0.66</v>
      </c>
      <c r="O19" s="6" t="s">
        <v>65</v>
      </c>
      <c r="P19" s="9">
        <f t="shared" si="4"/>
        <v>0.33</v>
      </c>
      <c r="Q19" s="6" t="s">
        <v>67</v>
      </c>
      <c r="R19" s="9">
        <f t="shared" si="5"/>
        <v>0.33</v>
      </c>
      <c r="S19" s="6" t="s">
        <v>67</v>
      </c>
      <c r="T19" s="9">
        <f t="shared" si="6"/>
        <v>0.33</v>
      </c>
      <c r="U19" s="6" t="s">
        <v>65</v>
      </c>
      <c r="V19" s="9">
        <f t="shared" si="20"/>
        <v>0.33</v>
      </c>
      <c r="W19" s="6">
        <f t="shared" si="16"/>
        <v>1.31</v>
      </c>
      <c r="X19" s="6">
        <f t="shared" si="8"/>
        <v>1.4737500000000001</v>
      </c>
      <c r="Y19" s="6" t="s">
        <v>68</v>
      </c>
      <c r="Z19" s="9">
        <f t="shared" si="17"/>
        <v>-1</v>
      </c>
      <c r="AA19" s="6" t="s">
        <v>68</v>
      </c>
      <c r="AB19" s="9">
        <f t="shared" si="9"/>
        <v>1</v>
      </c>
      <c r="AC19" s="6" t="s">
        <v>66</v>
      </c>
      <c r="AD19" s="9">
        <f t="shared" si="10"/>
        <v>-0.66</v>
      </c>
      <c r="AE19" s="6" t="s">
        <v>69</v>
      </c>
      <c r="AF19" s="9">
        <f t="shared" si="11"/>
        <v>-0.66</v>
      </c>
      <c r="AG19" s="6" t="s">
        <v>66</v>
      </c>
      <c r="AH19" s="9">
        <f t="shared" si="18"/>
        <v>0.66</v>
      </c>
      <c r="AI19" s="6" t="s">
        <v>66</v>
      </c>
      <c r="AJ19" s="9">
        <f t="shared" si="19"/>
        <v>0.66</v>
      </c>
      <c r="AK19" s="6" t="s">
        <v>68</v>
      </c>
      <c r="AL19" s="9">
        <f t="shared" si="12"/>
        <v>-1</v>
      </c>
      <c r="AM19" s="6" t="s">
        <v>69</v>
      </c>
      <c r="AN19" s="9">
        <f t="shared" si="13"/>
        <v>0.66</v>
      </c>
      <c r="AO19" s="6" t="s">
        <v>69</v>
      </c>
      <c r="AP19" s="9">
        <f t="shared" si="14"/>
        <v>-0.66</v>
      </c>
      <c r="AQ19">
        <f t="shared" si="15"/>
        <v>-1</v>
      </c>
    </row>
    <row r="20" spans="1:43" ht="12.75" x14ac:dyDescent="0.2">
      <c r="A20" s="4">
        <v>45587.735634016208</v>
      </c>
      <c r="B20" s="5" t="s">
        <v>115</v>
      </c>
      <c r="C20" s="6">
        <v>1997</v>
      </c>
      <c r="D20" s="6" t="s">
        <v>59</v>
      </c>
      <c r="E20" s="6" t="s">
        <v>60</v>
      </c>
      <c r="F20" s="7" t="s">
        <v>143</v>
      </c>
      <c r="G20" s="6" t="s">
        <v>70</v>
      </c>
      <c r="H20" s="9">
        <f t="shared" si="0"/>
        <v>1</v>
      </c>
      <c r="I20" s="6" t="s">
        <v>70</v>
      </c>
      <c r="J20" s="9">
        <f t="shared" si="1"/>
        <v>-1</v>
      </c>
      <c r="K20" s="6" t="s">
        <v>68</v>
      </c>
      <c r="L20" s="9">
        <f t="shared" si="2"/>
        <v>1</v>
      </c>
      <c r="M20" s="6" t="s">
        <v>66</v>
      </c>
      <c r="N20" s="9">
        <f t="shared" si="3"/>
        <v>0.66</v>
      </c>
      <c r="O20" s="6" t="s">
        <v>68</v>
      </c>
      <c r="P20" s="9">
        <f t="shared" si="4"/>
        <v>1</v>
      </c>
      <c r="Q20" s="6" t="s">
        <v>70</v>
      </c>
      <c r="R20" s="9">
        <f t="shared" si="5"/>
        <v>1</v>
      </c>
      <c r="S20" s="6" t="s">
        <v>65</v>
      </c>
      <c r="T20" s="9">
        <f t="shared" si="6"/>
        <v>-0.33</v>
      </c>
      <c r="U20" s="6" t="s">
        <v>68</v>
      </c>
      <c r="V20" s="9">
        <f t="shared" si="20"/>
        <v>1</v>
      </c>
      <c r="W20" s="6">
        <f t="shared" si="16"/>
        <v>4.33</v>
      </c>
      <c r="X20" s="6">
        <f t="shared" si="8"/>
        <v>4.8712499999999999</v>
      </c>
      <c r="Y20" s="6" t="s">
        <v>68</v>
      </c>
      <c r="Z20" s="9">
        <f t="shared" si="17"/>
        <v>-1</v>
      </c>
      <c r="AA20" s="6" t="s">
        <v>68</v>
      </c>
      <c r="AB20" s="9">
        <f t="shared" si="9"/>
        <v>1</v>
      </c>
      <c r="AC20" s="6" t="s">
        <v>68</v>
      </c>
      <c r="AD20" s="9">
        <f t="shared" si="10"/>
        <v>1</v>
      </c>
      <c r="AE20" s="6" t="s">
        <v>68</v>
      </c>
      <c r="AF20" s="9">
        <f t="shared" si="11"/>
        <v>-1</v>
      </c>
      <c r="AG20" s="6" t="s">
        <v>70</v>
      </c>
      <c r="AH20" s="9">
        <f t="shared" si="18"/>
        <v>1</v>
      </c>
      <c r="AI20" s="6" t="s">
        <v>70</v>
      </c>
      <c r="AJ20" s="9">
        <f t="shared" si="19"/>
        <v>1</v>
      </c>
      <c r="AK20" s="6" t="s">
        <v>70</v>
      </c>
      <c r="AL20" s="9">
        <f t="shared" si="12"/>
        <v>1</v>
      </c>
      <c r="AM20" s="6" t="s">
        <v>68</v>
      </c>
      <c r="AN20" s="9">
        <f t="shared" si="13"/>
        <v>1</v>
      </c>
      <c r="AO20" s="6" t="s">
        <v>70</v>
      </c>
      <c r="AP20" s="9">
        <f t="shared" si="14"/>
        <v>1</v>
      </c>
      <c r="AQ20">
        <f t="shared" si="15"/>
        <v>5</v>
      </c>
    </row>
    <row r="21" spans="1:43" ht="12.75" x14ac:dyDescent="0.2">
      <c r="A21" s="4">
        <v>45587.753750613425</v>
      </c>
      <c r="B21" s="5" t="s">
        <v>116</v>
      </c>
      <c r="C21" s="6">
        <v>2000</v>
      </c>
      <c r="D21" s="6" t="s">
        <v>80</v>
      </c>
      <c r="E21" s="6" t="s">
        <v>60</v>
      </c>
      <c r="F21" s="7" t="s">
        <v>143</v>
      </c>
      <c r="G21" s="6" t="s">
        <v>65</v>
      </c>
      <c r="H21" s="9">
        <f t="shared" si="0"/>
        <v>-0.33</v>
      </c>
      <c r="I21" s="6" t="s">
        <v>70</v>
      </c>
      <c r="J21" s="9">
        <f t="shared" si="1"/>
        <v>-1</v>
      </c>
      <c r="K21" s="6" t="s">
        <v>66</v>
      </c>
      <c r="L21" s="9">
        <f t="shared" si="2"/>
        <v>-0.66</v>
      </c>
      <c r="M21" s="6" t="s">
        <v>65</v>
      </c>
      <c r="N21" s="9">
        <f t="shared" si="3"/>
        <v>-0.33</v>
      </c>
      <c r="O21" s="6" t="s">
        <v>65</v>
      </c>
      <c r="P21" s="9">
        <f t="shared" si="4"/>
        <v>0.33</v>
      </c>
      <c r="Q21" s="6" t="s">
        <v>70</v>
      </c>
      <c r="R21" s="9">
        <f t="shared" si="5"/>
        <v>1</v>
      </c>
      <c r="S21" s="6" t="s">
        <v>69</v>
      </c>
      <c r="T21" s="9">
        <f t="shared" si="6"/>
        <v>-0.66</v>
      </c>
      <c r="U21" s="6" t="s">
        <v>66</v>
      </c>
      <c r="V21" s="9">
        <f t="shared" si="20"/>
        <v>-0.66</v>
      </c>
      <c r="W21" s="6">
        <f t="shared" si="16"/>
        <v>-2.31</v>
      </c>
      <c r="X21" s="6">
        <f t="shared" si="8"/>
        <v>-2.5987499999999999</v>
      </c>
      <c r="Y21" s="6" t="s">
        <v>68</v>
      </c>
      <c r="Z21" s="9">
        <f t="shared" si="17"/>
        <v>-1</v>
      </c>
      <c r="AA21" s="6" t="s">
        <v>69</v>
      </c>
      <c r="AB21" s="9">
        <f t="shared" si="9"/>
        <v>0.66</v>
      </c>
      <c r="AC21" s="6" t="s">
        <v>66</v>
      </c>
      <c r="AD21" s="9">
        <f t="shared" si="10"/>
        <v>-0.66</v>
      </c>
      <c r="AE21" s="6" t="s">
        <v>70</v>
      </c>
      <c r="AF21" s="9">
        <f t="shared" si="11"/>
        <v>1</v>
      </c>
      <c r="AG21" s="6" t="s">
        <v>69</v>
      </c>
      <c r="AH21" s="9">
        <f t="shared" si="18"/>
        <v>-0.66</v>
      </c>
      <c r="AI21" s="6" t="s">
        <v>67</v>
      </c>
      <c r="AJ21" s="9">
        <f t="shared" si="19"/>
        <v>0.33</v>
      </c>
      <c r="AK21" s="6" t="s">
        <v>70</v>
      </c>
      <c r="AL21" s="9">
        <f t="shared" si="12"/>
        <v>1</v>
      </c>
      <c r="AM21" s="6" t="s">
        <v>68</v>
      </c>
      <c r="AN21" s="9">
        <f t="shared" si="13"/>
        <v>1</v>
      </c>
      <c r="AO21" s="6" t="s">
        <v>67</v>
      </c>
      <c r="AP21" s="9">
        <f t="shared" si="14"/>
        <v>0.33</v>
      </c>
      <c r="AQ21">
        <f t="shared" si="15"/>
        <v>2</v>
      </c>
    </row>
    <row r="22" spans="1:43" ht="12.75" x14ac:dyDescent="0.2">
      <c r="A22" s="4">
        <v>45587.778031238428</v>
      </c>
      <c r="B22" s="5" t="s">
        <v>117</v>
      </c>
      <c r="C22" s="6">
        <v>2002</v>
      </c>
      <c r="D22" s="6" t="s">
        <v>80</v>
      </c>
      <c r="E22" s="6" t="s">
        <v>85</v>
      </c>
      <c r="F22" s="7" t="s">
        <v>143</v>
      </c>
      <c r="G22" s="6" t="s">
        <v>66</v>
      </c>
      <c r="H22" s="9">
        <f t="shared" si="0"/>
        <v>0.66</v>
      </c>
      <c r="I22" s="6" t="s">
        <v>70</v>
      </c>
      <c r="J22" s="9">
        <f t="shared" si="1"/>
        <v>-1</v>
      </c>
      <c r="K22" s="6" t="s">
        <v>65</v>
      </c>
      <c r="L22" s="9">
        <f t="shared" si="2"/>
        <v>0.33</v>
      </c>
      <c r="M22" s="6" t="s">
        <v>67</v>
      </c>
      <c r="N22" s="9">
        <f t="shared" si="3"/>
        <v>0.33</v>
      </c>
      <c r="O22" s="6" t="s">
        <v>66</v>
      </c>
      <c r="P22" s="9">
        <f t="shared" si="4"/>
        <v>-0.66</v>
      </c>
      <c r="Q22" s="6" t="s">
        <v>70</v>
      </c>
      <c r="R22" s="9">
        <f t="shared" si="5"/>
        <v>1</v>
      </c>
      <c r="S22" s="6" t="s">
        <v>65</v>
      </c>
      <c r="T22" s="9">
        <f t="shared" si="6"/>
        <v>-0.33</v>
      </c>
      <c r="U22" s="6" t="s">
        <v>99</v>
      </c>
      <c r="V22" s="9">
        <f t="shared" si="20"/>
        <v>-0.33</v>
      </c>
      <c r="W22" s="6">
        <f t="shared" si="16"/>
        <v>0</v>
      </c>
      <c r="X22" s="6">
        <f t="shared" si="8"/>
        <v>0</v>
      </c>
      <c r="Y22" s="6" t="s">
        <v>68</v>
      </c>
      <c r="Z22" s="9">
        <f t="shared" si="17"/>
        <v>-1</v>
      </c>
      <c r="AA22" s="6" t="s">
        <v>67</v>
      </c>
      <c r="AB22" s="9">
        <f t="shared" si="9"/>
        <v>-0.33</v>
      </c>
      <c r="AC22" s="6" t="s">
        <v>70</v>
      </c>
      <c r="AD22" s="9">
        <f t="shared" si="10"/>
        <v>-1</v>
      </c>
      <c r="AE22" s="6" t="s">
        <v>66</v>
      </c>
      <c r="AF22" s="9">
        <f t="shared" si="11"/>
        <v>0.66</v>
      </c>
      <c r="AG22" s="6" t="s">
        <v>65</v>
      </c>
      <c r="AH22" s="9">
        <f t="shared" si="18"/>
        <v>-0.33</v>
      </c>
      <c r="AI22" s="6" t="s">
        <v>68</v>
      </c>
      <c r="AJ22" s="9">
        <f t="shared" si="19"/>
        <v>-1</v>
      </c>
      <c r="AK22" s="6" t="s">
        <v>66</v>
      </c>
      <c r="AL22" s="9">
        <f t="shared" si="12"/>
        <v>0.66</v>
      </c>
      <c r="AM22" s="6" t="s">
        <v>65</v>
      </c>
      <c r="AN22" s="9">
        <f t="shared" si="13"/>
        <v>0.33</v>
      </c>
      <c r="AO22" s="6" t="s">
        <v>66</v>
      </c>
      <c r="AP22" s="9">
        <f t="shared" si="14"/>
        <v>0.66</v>
      </c>
      <c r="AQ22">
        <f t="shared" si="15"/>
        <v>-1.35</v>
      </c>
    </row>
    <row r="23" spans="1:43" ht="12.75" x14ac:dyDescent="0.2">
      <c r="A23" s="4">
        <v>45597.138342754624</v>
      </c>
      <c r="B23" s="5" t="s">
        <v>119</v>
      </c>
      <c r="C23" s="6">
        <v>2002</v>
      </c>
      <c r="D23" s="6" t="s">
        <v>80</v>
      </c>
      <c r="E23" s="6" t="s">
        <v>60</v>
      </c>
      <c r="F23" s="7" t="s">
        <v>143</v>
      </c>
      <c r="G23" s="6" t="s">
        <v>67</v>
      </c>
      <c r="H23" s="9">
        <f t="shared" si="0"/>
        <v>0.33</v>
      </c>
      <c r="I23" s="6" t="s">
        <v>66</v>
      </c>
      <c r="J23" s="9">
        <f t="shared" si="1"/>
        <v>-0.66</v>
      </c>
      <c r="K23" s="6" t="s">
        <v>67</v>
      </c>
      <c r="L23" s="9">
        <f t="shared" si="2"/>
        <v>-0.33</v>
      </c>
      <c r="M23" s="6" t="s">
        <v>65</v>
      </c>
      <c r="N23" s="9">
        <f t="shared" si="3"/>
        <v>-0.33</v>
      </c>
      <c r="O23" s="6" t="s">
        <v>69</v>
      </c>
      <c r="P23" s="9">
        <f t="shared" si="4"/>
        <v>0.66</v>
      </c>
      <c r="Q23" s="6" t="s">
        <v>66</v>
      </c>
      <c r="R23" s="9">
        <f t="shared" si="5"/>
        <v>0.66</v>
      </c>
      <c r="S23" s="6" t="s">
        <v>69</v>
      </c>
      <c r="T23" s="9">
        <f t="shared" si="6"/>
        <v>-0.66</v>
      </c>
      <c r="U23" s="6" t="s">
        <v>69</v>
      </c>
      <c r="V23" s="9">
        <f t="shared" si="20"/>
        <v>0.66</v>
      </c>
      <c r="W23" s="6">
        <f t="shared" si="16"/>
        <v>0.3299999999999999</v>
      </c>
      <c r="X23" s="6">
        <f t="shared" si="8"/>
        <v>0.37124999999999991</v>
      </c>
      <c r="Y23" s="6" t="s">
        <v>68</v>
      </c>
      <c r="Z23" s="9">
        <f t="shared" si="17"/>
        <v>-1</v>
      </c>
      <c r="AA23" s="6" t="s">
        <v>69</v>
      </c>
      <c r="AB23" s="9">
        <f t="shared" si="9"/>
        <v>0.66</v>
      </c>
      <c r="AC23" s="6" t="s">
        <v>67</v>
      </c>
      <c r="AD23" s="9">
        <f t="shared" si="10"/>
        <v>-0.33</v>
      </c>
      <c r="AE23" s="6" t="s">
        <v>67</v>
      </c>
      <c r="AF23" s="9">
        <f t="shared" si="11"/>
        <v>0.33</v>
      </c>
      <c r="AG23" s="6" t="s">
        <v>65</v>
      </c>
      <c r="AH23" s="9">
        <f t="shared" si="18"/>
        <v>-0.33</v>
      </c>
      <c r="AI23" s="6" t="s">
        <v>67</v>
      </c>
      <c r="AJ23" s="9">
        <f t="shared" si="19"/>
        <v>0.33</v>
      </c>
      <c r="AK23" s="6" t="s">
        <v>67</v>
      </c>
      <c r="AL23" s="9">
        <f t="shared" si="12"/>
        <v>0.33</v>
      </c>
      <c r="AM23" s="6" t="s">
        <v>69</v>
      </c>
      <c r="AN23" s="9">
        <f t="shared" si="13"/>
        <v>0.66</v>
      </c>
      <c r="AO23" s="6" t="s">
        <v>67</v>
      </c>
      <c r="AP23" s="9">
        <f t="shared" si="14"/>
        <v>0.33</v>
      </c>
      <c r="AQ23">
        <f t="shared" si="15"/>
        <v>0.98</v>
      </c>
    </row>
    <row r="24" spans="1:43" ht="12.75" x14ac:dyDescent="0.2">
      <c r="A24" s="4">
        <v>45587.738328611114</v>
      </c>
      <c r="B24" s="5" t="s">
        <v>120</v>
      </c>
      <c r="C24" s="6">
        <v>2000</v>
      </c>
      <c r="D24" s="6" t="s">
        <v>80</v>
      </c>
      <c r="E24" s="6" t="s">
        <v>85</v>
      </c>
      <c r="F24" s="7" t="s">
        <v>143</v>
      </c>
      <c r="G24" s="6" t="s">
        <v>68</v>
      </c>
      <c r="H24" s="9">
        <f t="shared" si="0"/>
        <v>-1</v>
      </c>
      <c r="I24" s="6" t="s">
        <v>66</v>
      </c>
      <c r="J24" s="9">
        <f t="shared" si="1"/>
        <v>-0.66</v>
      </c>
      <c r="K24" s="6" t="s">
        <v>66</v>
      </c>
      <c r="L24" s="9">
        <f t="shared" si="2"/>
        <v>-0.66</v>
      </c>
      <c r="M24" s="6" t="s">
        <v>69</v>
      </c>
      <c r="N24" s="9">
        <f t="shared" si="3"/>
        <v>-0.66</v>
      </c>
      <c r="O24" s="6" t="s">
        <v>70</v>
      </c>
      <c r="P24" s="9">
        <f t="shared" si="4"/>
        <v>-1</v>
      </c>
      <c r="Q24" s="6" t="s">
        <v>65</v>
      </c>
      <c r="R24" s="9">
        <f t="shared" si="5"/>
        <v>-0.33</v>
      </c>
      <c r="S24" s="6" t="s">
        <v>68</v>
      </c>
      <c r="T24" s="9">
        <f t="shared" si="6"/>
        <v>-1</v>
      </c>
      <c r="U24" s="6" t="s">
        <v>70</v>
      </c>
      <c r="V24" s="9">
        <f t="shared" si="20"/>
        <v>-1</v>
      </c>
      <c r="W24" s="6">
        <f t="shared" si="16"/>
        <v>-6.3100000000000005</v>
      </c>
      <c r="X24" s="6">
        <f t="shared" si="8"/>
        <v>-7.0987500000000008</v>
      </c>
      <c r="Y24" s="6" t="s">
        <v>67</v>
      </c>
      <c r="Z24" s="9">
        <f>IF(Y24="Totalmente de Acuerdo",1,IF(Y24="Muy de Acuerdo",0.66,IF(Y24="Levemente de Acuerdo",0.33,IF(Y24="Levemente en Desacuerdo",-0.33,IF(Y24="Muy en Desacuerdo",-0.66,IF(Y24="Totalmente en Desacuerdo",-1,"error"))))))</f>
        <v>0.33</v>
      </c>
      <c r="AA24" s="6" t="s">
        <v>70</v>
      </c>
      <c r="AB24" s="9">
        <f t="shared" si="9"/>
        <v>-1</v>
      </c>
      <c r="AC24" s="6" t="s">
        <v>70</v>
      </c>
      <c r="AD24" s="9">
        <f t="shared" si="10"/>
        <v>-1</v>
      </c>
      <c r="AE24" s="6" t="s">
        <v>66</v>
      </c>
      <c r="AF24" s="9">
        <f t="shared" si="11"/>
        <v>0.66</v>
      </c>
      <c r="AG24" s="6" t="s">
        <v>68</v>
      </c>
      <c r="AH24" s="9">
        <f t="shared" si="18"/>
        <v>-1</v>
      </c>
      <c r="AI24" s="6" t="s">
        <v>68</v>
      </c>
      <c r="AJ24" s="9">
        <f t="shared" si="19"/>
        <v>-1</v>
      </c>
      <c r="AK24" s="6" t="s">
        <v>68</v>
      </c>
      <c r="AL24" s="9">
        <f t="shared" si="12"/>
        <v>-1</v>
      </c>
      <c r="AM24" s="6" t="s">
        <v>66</v>
      </c>
      <c r="AN24" s="9">
        <f t="shared" si="13"/>
        <v>-0.66</v>
      </c>
      <c r="AO24" s="6" t="s">
        <v>70</v>
      </c>
      <c r="AP24" s="9">
        <f t="shared" si="14"/>
        <v>1</v>
      </c>
      <c r="AQ24">
        <f t="shared" si="15"/>
        <v>-3.67</v>
      </c>
    </row>
    <row r="25" spans="1:43" ht="12.75" x14ac:dyDescent="0.2">
      <c r="A25" s="4">
        <v>45587.737133807866</v>
      </c>
      <c r="B25" s="5" t="s">
        <v>122</v>
      </c>
      <c r="C25" s="6">
        <v>2003</v>
      </c>
      <c r="D25" s="6" t="s">
        <v>80</v>
      </c>
      <c r="E25" s="6" t="s">
        <v>85</v>
      </c>
      <c r="F25" s="7" t="s">
        <v>143</v>
      </c>
      <c r="G25" s="6" t="s">
        <v>70</v>
      </c>
      <c r="H25" s="9">
        <f t="shared" si="0"/>
        <v>1</v>
      </c>
      <c r="I25" s="6" t="s">
        <v>70</v>
      </c>
      <c r="J25" s="9">
        <f t="shared" si="1"/>
        <v>-1</v>
      </c>
      <c r="K25" s="6" t="s">
        <v>70</v>
      </c>
      <c r="L25" s="9">
        <f t="shared" si="2"/>
        <v>-1</v>
      </c>
      <c r="M25" s="6" t="s">
        <v>70</v>
      </c>
      <c r="N25" s="9">
        <f t="shared" si="3"/>
        <v>1</v>
      </c>
      <c r="O25" s="6" t="s">
        <v>69</v>
      </c>
      <c r="P25" s="9">
        <f t="shared" si="4"/>
        <v>0.66</v>
      </c>
      <c r="Q25" s="6" t="s">
        <v>66</v>
      </c>
      <c r="R25" s="9">
        <f t="shared" si="5"/>
        <v>0.66</v>
      </c>
      <c r="S25" s="6" t="s">
        <v>65</v>
      </c>
      <c r="T25" s="9">
        <f t="shared" si="6"/>
        <v>-0.33</v>
      </c>
      <c r="U25" s="6" t="s">
        <v>99</v>
      </c>
      <c r="V25" s="9">
        <f t="shared" si="20"/>
        <v>-0.33</v>
      </c>
      <c r="W25" s="6">
        <f t="shared" si="16"/>
        <v>0.66000000000000014</v>
      </c>
      <c r="X25" s="6">
        <f t="shared" si="8"/>
        <v>0.74250000000000016</v>
      </c>
      <c r="Y25" s="6" t="s">
        <v>65</v>
      </c>
      <c r="Z25" s="9">
        <f t="shared" si="17"/>
        <v>-0.33</v>
      </c>
      <c r="AA25" s="6" t="s">
        <v>69</v>
      </c>
      <c r="AB25" s="9">
        <f t="shared" si="9"/>
        <v>0.66</v>
      </c>
      <c r="AC25" s="6" t="s">
        <v>67</v>
      </c>
      <c r="AD25" s="9">
        <f t="shared" si="10"/>
        <v>-0.33</v>
      </c>
      <c r="AE25" s="6" t="s">
        <v>69</v>
      </c>
      <c r="AF25" s="9">
        <f t="shared" si="11"/>
        <v>-0.66</v>
      </c>
      <c r="AG25" s="6" t="s">
        <v>70</v>
      </c>
      <c r="AH25" s="9">
        <f t="shared" si="18"/>
        <v>1</v>
      </c>
      <c r="AI25" s="6" t="s">
        <v>70</v>
      </c>
      <c r="AJ25" s="9">
        <f t="shared" si="19"/>
        <v>1</v>
      </c>
      <c r="AK25" s="6" t="s">
        <v>70</v>
      </c>
      <c r="AL25" s="9">
        <f t="shared" si="12"/>
        <v>1</v>
      </c>
      <c r="AM25" s="6" t="s">
        <v>70</v>
      </c>
      <c r="AN25" s="9">
        <f t="shared" si="13"/>
        <v>-1</v>
      </c>
      <c r="AO25" s="6" t="s">
        <v>67</v>
      </c>
      <c r="AP25" s="9">
        <f t="shared" si="14"/>
        <v>0.33</v>
      </c>
      <c r="AQ25">
        <f t="shared" si="15"/>
        <v>1.67</v>
      </c>
    </row>
    <row r="26" spans="1:43" ht="12.75" x14ac:dyDescent="0.2">
      <c r="A26" s="4">
        <v>45596.938677106482</v>
      </c>
      <c r="B26" s="5" t="s">
        <v>123</v>
      </c>
      <c r="C26" s="6">
        <v>2002</v>
      </c>
      <c r="D26" s="6" t="s">
        <v>59</v>
      </c>
      <c r="E26" s="6" t="s">
        <v>60</v>
      </c>
      <c r="F26" s="7" t="s">
        <v>143</v>
      </c>
      <c r="G26" s="6" t="s">
        <v>67</v>
      </c>
      <c r="H26" s="9">
        <f t="shared" si="0"/>
        <v>0.33</v>
      </c>
      <c r="I26" s="6" t="s">
        <v>66</v>
      </c>
      <c r="J26" s="9">
        <f t="shared" si="1"/>
        <v>-0.66</v>
      </c>
      <c r="K26" s="6" t="s">
        <v>66</v>
      </c>
      <c r="L26" s="9">
        <f t="shared" si="2"/>
        <v>-0.66</v>
      </c>
      <c r="M26" s="6" t="s">
        <v>69</v>
      </c>
      <c r="N26" s="9">
        <f t="shared" si="3"/>
        <v>-0.66</v>
      </c>
      <c r="O26" s="6" t="s">
        <v>70</v>
      </c>
      <c r="P26" s="9">
        <f t="shared" si="4"/>
        <v>-1</v>
      </c>
      <c r="Q26" s="6" t="s">
        <v>66</v>
      </c>
      <c r="R26" s="9">
        <f t="shared" si="5"/>
        <v>0.66</v>
      </c>
      <c r="S26" s="6" t="s">
        <v>65</v>
      </c>
      <c r="T26" s="9">
        <f t="shared" si="6"/>
        <v>-0.33</v>
      </c>
      <c r="U26" s="6" t="s">
        <v>66</v>
      </c>
      <c r="V26" s="9">
        <f t="shared" si="20"/>
        <v>-0.66</v>
      </c>
      <c r="W26" s="6">
        <f t="shared" si="16"/>
        <v>-2.9800000000000004</v>
      </c>
      <c r="X26" s="6">
        <f t="shared" si="8"/>
        <v>-3.3525000000000005</v>
      </c>
      <c r="Y26" s="6" t="s">
        <v>65</v>
      </c>
      <c r="Z26" s="9">
        <f t="shared" si="17"/>
        <v>-0.33</v>
      </c>
      <c r="AA26" s="6" t="s">
        <v>69</v>
      </c>
      <c r="AB26" s="9">
        <f t="shared" si="9"/>
        <v>0.66</v>
      </c>
      <c r="AC26" s="6" t="s">
        <v>70</v>
      </c>
      <c r="AD26" s="9">
        <f t="shared" si="10"/>
        <v>-1</v>
      </c>
      <c r="AE26" s="6" t="s">
        <v>70</v>
      </c>
      <c r="AF26" s="9">
        <f t="shared" si="11"/>
        <v>1</v>
      </c>
      <c r="AG26" s="6" t="s">
        <v>68</v>
      </c>
      <c r="AH26" s="9">
        <f t="shared" si="18"/>
        <v>-1</v>
      </c>
      <c r="AI26" s="6" t="s">
        <v>70</v>
      </c>
      <c r="AJ26" s="9">
        <f t="shared" si="19"/>
        <v>1</v>
      </c>
      <c r="AK26" s="6" t="s">
        <v>70</v>
      </c>
      <c r="AL26" s="9">
        <f t="shared" si="12"/>
        <v>1</v>
      </c>
      <c r="AM26" s="6" t="s">
        <v>68</v>
      </c>
      <c r="AN26" s="9">
        <f t="shared" si="13"/>
        <v>1</v>
      </c>
      <c r="AO26" s="6" t="s">
        <v>70</v>
      </c>
      <c r="AP26" s="9">
        <f t="shared" si="14"/>
        <v>1</v>
      </c>
      <c r="AQ26">
        <f t="shared" si="15"/>
        <v>3.33</v>
      </c>
    </row>
    <row r="27" spans="1:43" ht="12.75" x14ac:dyDescent="0.2">
      <c r="A27" s="4">
        <v>45590.649629444444</v>
      </c>
      <c r="B27" s="5" t="s">
        <v>124</v>
      </c>
      <c r="C27" s="6">
        <v>2002</v>
      </c>
      <c r="D27" s="6" t="s">
        <v>59</v>
      </c>
      <c r="E27" s="6" t="s">
        <v>60</v>
      </c>
      <c r="F27" s="7" t="s">
        <v>143</v>
      </c>
      <c r="G27" s="6" t="s">
        <v>66</v>
      </c>
      <c r="H27" s="9">
        <f t="shared" si="0"/>
        <v>0.66</v>
      </c>
      <c r="I27" s="6" t="s">
        <v>70</v>
      </c>
      <c r="J27" s="9">
        <f t="shared" si="1"/>
        <v>-1</v>
      </c>
      <c r="K27" s="6" t="s">
        <v>66</v>
      </c>
      <c r="L27" s="9">
        <f t="shared" si="2"/>
        <v>-0.66</v>
      </c>
      <c r="M27" s="6" t="s">
        <v>67</v>
      </c>
      <c r="N27" s="9">
        <f t="shared" si="3"/>
        <v>0.33</v>
      </c>
      <c r="O27" s="6" t="s">
        <v>70</v>
      </c>
      <c r="P27" s="9">
        <f t="shared" si="4"/>
        <v>-1</v>
      </c>
      <c r="Q27" s="6" t="s">
        <v>65</v>
      </c>
      <c r="R27" s="9">
        <f t="shared" si="5"/>
        <v>-0.33</v>
      </c>
      <c r="S27" s="6" t="s">
        <v>65</v>
      </c>
      <c r="T27" s="9">
        <f t="shared" si="6"/>
        <v>-0.33</v>
      </c>
      <c r="U27" s="6" t="s">
        <v>99</v>
      </c>
      <c r="V27" s="9">
        <f t="shared" si="20"/>
        <v>-0.33</v>
      </c>
      <c r="W27" s="6">
        <f t="shared" si="16"/>
        <v>-2.6599999999999997</v>
      </c>
      <c r="X27" s="6">
        <f t="shared" si="8"/>
        <v>-2.9924999999999997</v>
      </c>
      <c r="Y27" s="6" t="s">
        <v>65</v>
      </c>
      <c r="Z27" s="9">
        <f t="shared" si="17"/>
        <v>-0.33</v>
      </c>
      <c r="AA27" s="6" t="s">
        <v>65</v>
      </c>
      <c r="AB27" s="9">
        <f t="shared" si="9"/>
        <v>0.33</v>
      </c>
      <c r="AC27" s="6" t="s">
        <v>70</v>
      </c>
      <c r="AD27" s="9">
        <f t="shared" si="10"/>
        <v>-1</v>
      </c>
      <c r="AE27" s="6" t="s">
        <v>66</v>
      </c>
      <c r="AF27" s="9">
        <f t="shared" si="11"/>
        <v>0.66</v>
      </c>
      <c r="AG27" s="6" t="s">
        <v>67</v>
      </c>
      <c r="AH27" s="9">
        <f t="shared" si="18"/>
        <v>0.33</v>
      </c>
      <c r="AI27" s="6" t="s">
        <v>66</v>
      </c>
      <c r="AJ27" s="9">
        <f t="shared" si="19"/>
        <v>0.66</v>
      </c>
      <c r="AK27" s="6" t="s">
        <v>70</v>
      </c>
      <c r="AL27" s="9">
        <f t="shared" si="12"/>
        <v>1</v>
      </c>
      <c r="AM27" s="6" t="s">
        <v>65</v>
      </c>
      <c r="AN27" s="9">
        <f t="shared" si="13"/>
        <v>0.33</v>
      </c>
      <c r="AO27" s="6" t="s">
        <v>65</v>
      </c>
      <c r="AP27" s="9">
        <f t="shared" si="14"/>
        <v>-0.33</v>
      </c>
      <c r="AQ27">
        <f t="shared" si="15"/>
        <v>1.6500000000000004</v>
      </c>
    </row>
    <row r="28" spans="1:43" ht="15.75" customHeight="1" x14ac:dyDescent="0.2">
      <c r="H28" s="9" t="str">
        <f t="shared" si="0"/>
        <v>error</v>
      </c>
      <c r="I28" s="9"/>
      <c r="J28" s="9">
        <f t="shared" ref="J28:L28" si="21">IF(I3="Totalmente de Acuerdo",1,IF(I3="Muy de Acuerdo",0.66,IF(I3="Levemente de Acuerdo",0.33,IF(I3="Levemente en Desacuerdo",-0.33,IF(I3="Muy en Desacuerdo",-0.66,IF(I3="Totalmente en Desacuerdo",-1,"error"))))))</f>
        <v>1</v>
      </c>
      <c r="K28" s="9"/>
      <c r="L28" s="9">
        <f t="shared" si="21"/>
        <v>0.33</v>
      </c>
      <c r="M28" s="9"/>
      <c r="N28" s="9" t="str">
        <f t="shared" si="3"/>
        <v>error</v>
      </c>
      <c r="O28" s="9"/>
      <c r="P28" s="9">
        <f>IF(O3="Totalmente de Acuerdo",1,IF(O3="Muy de Acuerdo",0.66,IF(O3="Levemente de Acuerdo",0.33,IF(O3="Levemente en Desacuerdo",-0.33,IF(O3="Muy en Desacuerdo",-0.66,IF(O3="Totalmente en Desacuerdo",-1,"error"))))))</f>
        <v>0.33</v>
      </c>
      <c r="Q28" s="9"/>
      <c r="R28" s="9" t="str">
        <f>IF(Q28="Totalmente de Acuerdo",1,IF(Q28="Muy de Acuerdo",0.66,IF(Q28="Levemente de Acuerdo",0.33,IF(Q28="Levemente en Desacuerdo",-0.33,IF(Q28="Muy en Desacuerdo",-0.66,IF(Q28="Totalmente en Desacuerdo",-1,"error"))))))</f>
        <v>error</v>
      </c>
      <c r="S28" s="9" t="e">
        <f>IF(#REF!="Totalmente de Acuerdo",1,IF(#REF!="Muy de Acuerdo",0.66,IF(#REF!="Levemente de Acuerdo",0.33,IF(#REF!="Levemente en Desacuerdo",-0.33,IF(#REF!="Muy en Desacuerdo",-0.66,IF(#REF!="Totalmente en Desacuerdo",-1,"error"))))))</f>
        <v>#REF!</v>
      </c>
      <c r="T28" s="9" t="e">
        <f>IF(S28="Totalmente de Acuerdo",1,IF(S28="Muy de Acuerdo",0.66,IF(S28="Levemente de Acuerdo",0.33,IF(S28="Levemente en Desacuerdo",-0.33,IF(S28="Muy en Desacuerdo",-0.66,IF(S28="Totalmente en Desacuerdo",-1,"error"))))))</f>
        <v>#REF!</v>
      </c>
      <c r="U28" s="9"/>
      <c r="V28" s="9"/>
      <c r="W28" s="6"/>
      <c r="X28" s="6">
        <f t="shared" si="8"/>
        <v>0</v>
      </c>
      <c r="Z28" s="9" t="str">
        <f t="shared" si="17"/>
        <v>error</v>
      </c>
      <c r="AB28" s="9" t="str">
        <f t="shared" si="9"/>
        <v>error</v>
      </c>
      <c r="AC28" s="9">
        <f>IF(AA3="Totalmente de Acuerdo",1,IF(AA3="Muy de Acuerdo",0.66,IF(AA3="Levemente de Acuerdo",0.33,IF(AA3="Levemente en Desacuerdo",-0.33,IF(AA3="Muy en Desacuerdo",-0.66,IF(AA3="Totalmente en Desacuerdo",-1,"error"))))))</f>
        <v>0.66</v>
      </c>
      <c r="AD28" s="9" t="str">
        <f t="shared" si="10"/>
        <v>error</v>
      </c>
      <c r="AE28" s="9">
        <f>IF(AC3="Totalmente de Acuerdo",1,IF(AC3="Muy de Acuerdo",0.66,IF(AC3="Levemente de Acuerdo",0.33,IF(AC3="Levemente en Desacuerdo",-0.33,IF(AC3="Muy en Desacuerdo",-0.66,IF(AC3="Totalmente en Desacuerdo",-1,"error"))))))</f>
        <v>-0.66</v>
      </c>
      <c r="AF28" s="9" t="str">
        <f t="shared" si="11"/>
        <v>error</v>
      </c>
      <c r="AH28" s="9" t="str">
        <f t="shared" si="18"/>
        <v>error</v>
      </c>
      <c r="AJ28" s="9" t="str">
        <f t="shared" si="19"/>
        <v>error</v>
      </c>
      <c r="AL28" s="9" t="str">
        <f t="shared" si="12"/>
        <v>error</v>
      </c>
      <c r="AN28" s="9" t="str">
        <f t="shared" si="13"/>
        <v>error</v>
      </c>
      <c r="AO28" s="9">
        <f>IF(AM3="Totalmente de Acuerdo",1,IF(AM3="Muy de Acuerdo",0.66,IF(AM3="Levemente de Acuerdo",0.33,IF(AM3="Levemente en Desacuerdo",-0.33,IF(AM3="Muy en Desacuerdo",-0.66,IF(AM3="Totalmente en Desacuerdo",-1,"error"))))))</f>
        <v>-0.66</v>
      </c>
      <c r="AP28" s="9" t="str">
        <f t="shared" si="14"/>
        <v>error</v>
      </c>
      <c r="AQ28" t="e">
        <f t="shared" si="15"/>
        <v>#VALUE!</v>
      </c>
    </row>
    <row r="29" spans="1:43" ht="15.75" customHeight="1" x14ac:dyDescent="0.2">
      <c r="H29" s="9">
        <f>IF(G3="Totalmente de Acuerdo",-1,IF(G3="Muy de Acuerdo",-0.66,IF(G3="Levemente de Acuerdo",-0.33,IF(G3="Levemente en Desacuerdo",0.33,IF(G3="Muy en Desacuerdo",0.66,IF(G3="Totalmente en Desacuerdo",1,"error"))))))</f>
        <v>0.33</v>
      </c>
      <c r="I29" s="9"/>
      <c r="K29" s="9"/>
      <c r="M29" s="9"/>
      <c r="N29" s="9">
        <f t="shared" ref="N29:R29" si="22">IF(M3="Totalmente de Acuerdo",-1,IF(M3="Muy de Acuerdo",-0.66,IF(M3="Levemente de Acuerdo",-0.33,IF(M3="Levemente en Desacuerdo",0.33,IF(M3="Muy en Desacuerdo",0.66,IF(M3="Totalmente en Desacuerdo",1,"error"))))))</f>
        <v>0.33</v>
      </c>
      <c r="O29" s="9"/>
      <c r="Q29" s="9"/>
      <c r="R29" s="9">
        <f t="shared" si="22"/>
        <v>-0.33</v>
      </c>
      <c r="S29" s="9" t="e">
        <f>IF(#REF!="Totalmente de Acuerdo",-1,IF(#REF!="Muy de Acuerdo",-0.66,IF(#REF!="Levemente de Acuerdo",-0.33,IF(#REF!="Levemente en Desacuerdo",0.33,IF(#REF!="Muy en Desacuerdo",0.66,IF(#REF!="Totalmente en Desacuerdo",1,"error"))))))</f>
        <v>#REF!</v>
      </c>
      <c r="T29" s="9">
        <f>IF(S3="Totalmente de Acuerdo",-1,IF(S3="Muy de Acuerdo",-0.66,IF(S3="Levemente de Acuerdo",-0.33,IF(S3="Levemente en Desacuerdo",0.33,IF(S3="Muy en Desacuerdo",0.66,IF(S3="Totalmente en Desacuerdo",1,"error"))))))</f>
        <v>-0.66</v>
      </c>
      <c r="U29" s="9"/>
      <c r="W29" s="6">
        <f>9/8</f>
        <v>1.125</v>
      </c>
      <c r="X29" s="6">
        <f t="shared" si="8"/>
        <v>1.265625</v>
      </c>
      <c r="Z29" s="9">
        <f>IF(Y3="Totalmente de Acuerdo",-1,IF(Y3="Muy de Acuerdo",-0.66,IF(Y3="Levemente de Acuerdo",-0.33,IF(Y3="Levemente en Desacuerdo",0.33,IF(Y3="Muy en Desacuerdo",0.66,IF(Y3="Totalmente en Desacuerdo",1,"error"))))))</f>
        <v>1</v>
      </c>
      <c r="AB29" s="9" t="str">
        <f t="shared" si="9"/>
        <v>error</v>
      </c>
      <c r="AD29" s="9" t="str">
        <f t="shared" si="10"/>
        <v>error</v>
      </c>
      <c r="AF29" s="9" t="str">
        <f t="shared" si="11"/>
        <v>error</v>
      </c>
      <c r="AG29" s="9">
        <f>IF(AE3="Totalmente de Acuerdo",-1,IF(AE3="Muy de Acuerdo",-0.66,IF(AE3="Levemente de Acuerdo",-0.33,IF(AE3="Levemente en Desacuerdo",0.33,IF(AE3="Muy en Desacuerdo",0.66,IF(AE3="Totalmente en Desacuerdo",1,"error"))))))</f>
        <v>-0.33</v>
      </c>
      <c r="AH29" s="9" t="str">
        <f t="shared" si="18"/>
        <v>error</v>
      </c>
      <c r="AI29" s="9">
        <f>IF(AG3="Totalmente de Acuerdo",-1,IF(AG3="Muy de Acuerdo",-0.66,IF(AG3="Levemente de Acuerdo",-0.33,IF(AG3="Levemente en Desacuerdo",0.33,IF(AG3="Muy en Desacuerdo",0.66,IF(AG3="Totalmente en Desacuerdo",1,"error"))))))</f>
        <v>1</v>
      </c>
      <c r="AJ29" s="9" t="str">
        <f t="shared" si="19"/>
        <v>error</v>
      </c>
      <c r="AK29" s="9">
        <f>IF(AI3="Totalmente de Acuerdo",-1,IF(AI3="Muy de Acuerdo",-0.66,IF(AI3="Levemente de Acuerdo",-0.33,IF(AI3="Levemente en Desacuerdo",0.33,IF(AI3="Muy en Desacuerdo",0.66,IF(AI3="Totalmente en Desacuerdo",1,"error"))))))</f>
        <v>0.33</v>
      </c>
      <c r="AL29" s="9" t="str">
        <f t="shared" si="12"/>
        <v>error</v>
      </c>
      <c r="AM29" s="9">
        <f>IF(AK3="Totalmente de Acuerdo",-1,IF(AK3="Muy de Acuerdo",-0.66,IF(AK3="Levemente de Acuerdo",-0.33,IF(AK3="Levemente en Desacuerdo",0.33,IF(AK3="Muy en Desacuerdo",0.66,IF(AK3="Totalmente en Desacuerdo",1,"error"))))))</f>
        <v>-0.33</v>
      </c>
      <c r="AN29" s="9" t="str">
        <f t="shared" si="13"/>
        <v>error</v>
      </c>
      <c r="AP29" s="9" t="str">
        <f t="shared" si="14"/>
        <v>error</v>
      </c>
      <c r="AQ29" s="9">
        <f>IF(AO3="Totalmente de Acuerdo",-1,IF(AO3="Muy de Acuerdo",-0.66,IF(AO3="Levemente de Acuerdo",-0.33,IF(AO3="Levemente en Desacuerdo",0.33,IF(AO3="Muy en Desacuerdo",0.66,IF(AO3="Totalmente en Desacuerdo",1,"error"))))))</f>
        <v>1</v>
      </c>
    </row>
  </sheetData>
  <mergeCells count="2">
    <mergeCell ref="G1:W1"/>
    <mergeCell ref="Y1:A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32DE5-FBFA-4282-8595-75DB1F16A8C9}">
  <dimension ref="A1:E26"/>
  <sheetViews>
    <sheetView topLeftCell="A16" workbookViewId="0">
      <selection activeCell="D35" sqref="D35"/>
    </sheetView>
  </sheetViews>
  <sheetFormatPr baseColWidth="10" defaultRowHeight="12.75" x14ac:dyDescent="0.2"/>
  <cols>
    <col min="1" max="1" width="20.42578125" bestFit="1" customWidth="1"/>
    <col min="4" max="4" width="38" bestFit="1" customWidth="1"/>
    <col min="5" max="5" width="29.85546875" bestFit="1" customWidth="1"/>
  </cols>
  <sheetData>
    <row r="1" spans="1:5" x14ac:dyDescent="0.2">
      <c r="A1" s="6" t="s">
        <v>1</v>
      </c>
      <c r="B1" s="12" t="s">
        <v>150</v>
      </c>
      <c r="C1" s="12" t="s">
        <v>151</v>
      </c>
      <c r="D1" t="s">
        <v>161</v>
      </c>
      <c r="E1" t="s">
        <v>162</v>
      </c>
    </row>
    <row r="2" spans="1:5" x14ac:dyDescent="0.2">
      <c r="A2" s="5" t="s">
        <v>58</v>
      </c>
      <c r="B2">
        <f>+'2° Encuesta Filtrada'!X3</f>
        <v>-0.75375000000000014</v>
      </c>
      <c r="C2">
        <f>+'2° Encuesta Filtrada'!AQ3</f>
        <v>-2.0099999999999998</v>
      </c>
      <c r="D2" t="str">
        <f>+'1° Encuesta Filtrada'!BY3</f>
        <v>Sergio Massa (Unión por la Patria)</v>
      </c>
      <c r="E2" t="str">
        <f>+'1° Encuesta Filtrada'!BZ3</f>
        <v>Sergio Massa (Unión por la Patria)</v>
      </c>
    </row>
    <row r="3" spans="1:5" x14ac:dyDescent="0.2">
      <c r="A3" s="5" t="s">
        <v>73</v>
      </c>
      <c r="B3">
        <f>+'2° Encuesta Filtrada'!X4</f>
        <v>-2.9925000000000002</v>
      </c>
      <c r="C3">
        <f>+'2° Encuesta Filtrada'!AQ4</f>
        <v>-0.9900000000000001</v>
      </c>
      <c r="D3" t="str">
        <f>+'1° Encuesta Filtrada'!BY4</f>
        <v>Sergio Massa (Unión por la Patria)</v>
      </c>
      <c r="E3" t="str">
        <f>+'1° Encuesta Filtrada'!BZ4</f>
        <v>Sergio Massa (Unión por la Patria)</v>
      </c>
    </row>
    <row r="4" spans="1:5" x14ac:dyDescent="0.2">
      <c r="A4" s="5" t="s">
        <v>79</v>
      </c>
      <c r="B4">
        <f>+'2° Encuesta Filtrada'!X5</f>
        <v>-6.7162500000000005</v>
      </c>
      <c r="C4">
        <f>+'2° Encuesta Filtrada'!AQ5</f>
        <v>-4.3099999999999996</v>
      </c>
      <c r="D4" t="str">
        <f>+'1° Encuesta Filtrada'!BY5</f>
        <v>Sergio Massa (Unión por la Patria)</v>
      </c>
      <c r="E4" t="str">
        <f>+'1° Encuesta Filtrada'!BZ5</f>
        <v>Sergio Massa (Unión por la Patria)</v>
      </c>
    </row>
    <row r="5" spans="1:5" x14ac:dyDescent="0.2">
      <c r="A5" s="5" t="s">
        <v>84</v>
      </c>
      <c r="B5">
        <f>+'2° Encuesta Filtrada'!X6</f>
        <v>-3.3525000000000005</v>
      </c>
      <c r="C5">
        <f>+'2° Encuesta Filtrada'!AQ6</f>
        <v>1.3199999999999998</v>
      </c>
      <c r="D5" t="str">
        <f>+'1° Encuesta Filtrada'!BY6</f>
        <v>Juan Schiaretti (Hacemos por Nuestro País)</v>
      </c>
      <c r="E5" t="str">
        <f>+'1° Encuesta Filtrada'!BZ6</f>
        <v>En blanco</v>
      </c>
    </row>
    <row r="6" spans="1:5" x14ac:dyDescent="0.2">
      <c r="A6" s="5" t="s">
        <v>88</v>
      </c>
      <c r="B6">
        <f>+'2° Encuesta Filtrada'!X7</f>
        <v>1.11375</v>
      </c>
      <c r="C6">
        <f>+'2° Encuesta Filtrada'!AQ7</f>
        <v>-0.66999999999999993</v>
      </c>
      <c r="D6" t="str">
        <f>+'1° Encuesta Filtrada'!BY7</f>
        <v>Javier Milei (La Libertad Avanza)</v>
      </c>
      <c r="E6" t="str">
        <f>+'1° Encuesta Filtrada'!BZ7</f>
        <v>Javier Milei (La Libertad Avanza)</v>
      </c>
    </row>
    <row r="7" spans="1:5" x14ac:dyDescent="0.2">
      <c r="A7" s="5" t="s">
        <v>92</v>
      </c>
      <c r="B7">
        <f>+'2° Encuesta Filtrada'!X8</f>
        <v>-1.4962500000000001</v>
      </c>
      <c r="C7">
        <f>+'2° Encuesta Filtrada'!AQ8</f>
        <v>9.9999999999997868E-3</v>
      </c>
      <c r="D7" t="str">
        <f>+'1° Encuesta Filtrada'!BY8</f>
        <v>En blanco</v>
      </c>
      <c r="E7" t="str">
        <f>+'1° Encuesta Filtrada'!BZ8</f>
        <v>En blanco</v>
      </c>
    </row>
    <row r="8" spans="1:5" x14ac:dyDescent="0.2">
      <c r="A8" s="5" t="s">
        <v>97</v>
      </c>
      <c r="B8">
        <f>+'2° Encuesta Filtrada'!X9</f>
        <v>2.2275000000000005</v>
      </c>
      <c r="C8">
        <f>+'2° Encuesta Filtrada'!AQ9</f>
        <v>1.67</v>
      </c>
      <c r="D8" t="str">
        <f>+'1° Encuesta Filtrada'!BY9</f>
        <v>En blanco</v>
      </c>
      <c r="E8" t="str">
        <f>+'1° Encuesta Filtrada'!BZ9</f>
        <v>En blanco</v>
      </c>
    </row>
    <row r="9" spans="1:5" x14ac:dyDescent="0.2">
      <c r="A9" s="5" t="s">
        <v>100</v>
      </c>
      <c r="B9">
        <f>+'2° Encuesta Filtrada'!X10</f>
        <v>-0.74250000000000005</v>
      </c>
      <c r="C9">
        <f>+'2° Encuesta Filtrada'!AQ10</f>
        <v>-0.66000000000000014</v>
      </c>
      <c r="D9" t="str">
        <f>+'1° Encuesta Filtrada'!BY10</f>
        <v>En blanco</v>
      </c>
      <c r="E9" t="str">
        <f>+'1° Encuesta Filtrada'!BZ10</f>
        <v>En blanco</v>
      </c>
    </row>
    <row r="10" spans="1:5" x14ac:dyDescent="0.2">
      <c r="A10" s="5" t="s">
        <v>103</v>
      </c>
      <c r="B10">
        <f>+'2° Encuesta Filtrada'!X11</f>
        <v>1.1025</v>
      </c>
      <c r="C10">
        <f>+'2° Encuesta Filtrada'!AQ11</f>
        <v>0.99000000000000021</v>
      </c>
      <c r="D10" t="str">
        <f>+'1° Encuesta Filtrada'!BY11</f>
        <v>Javier Milei (La Libertad Avanza)</v>
      </c>
      <c r="E10" t="str">
        <f>+'1° Encuesta Filtrada'!BZ11</f>
        <v>Javier Milei (La Libertad Avanza)</v>
      </c>
    </row>
    <row r="11" spans="1:5" x14ac:dyDescent="0.2">
      <c r="A11" s="5" t="s">
        <v>105</v>
      </c>
      <c r="B11">
        <f>+'2° Encuesta Filtrada'!X12</f>
        <v>-0.75374999999999992</v>
      </c>
      <c r="C11">
        <f>+'2° Encuesta Filtrada'!AQ12</f>
        <v>2.64</v>
      </c>
      <c r="D11" t="str">
        <f>+'1° Encuesta Filtrada'!BY12</f>
        <v>Patricia Bullrich (Juntos por el Cambio)</v>
      </c>
      <c r="E11" t="str">
        <f>+'1° Encuesta Filtrada'!BZ12</f>
        <v>Javier Milei (La Libertad Avanza)</v>
      </c>
    </row>
    <row r="12" spans="1:5" x14ac:dyDescent="0.2">
      <c r="A12" s="5" t="s">
        <v>106</v>
      </c>
      <c r="B12">
        <f>+'2° Encuesta Filtrada'!X13</f>
        <v>-3.3637500000000005</v>
      </c>
      <c r="C12">
        <f>+'2° Encuesta Filtrada'!AQ13</f>
        <v>2.33</v>
      </c>
      <c r="D12" t="str">
        <f>+'1° Encuesta Filtrada'!BY13</f>
        <v>Javier Milei (La Libertad Avanza)</v>
      </c>
      <c r="E12" t="str">
        <f>+'1° Encuesta Filtrada'!BZ13</f>
        <v>Javier Milei (La Libertad Avanza)</v>
      </c>
    </row>
    <row r="13" spans="1:5" x14ac:dyDescent="0.2">
      <c r="A13" s="5" t="s">
        <v>107</v>
      </c>
      <c r="B13">
        <f>+'2° Encuesta Filtrada'!X14</f>
        <v>-1.11375</v>
      </c>
      <c r="C13">
        <f>+'2° Encuesta Filtrada'!AQ14</f>
        <v>-1.65</v>
      </c>
      <c r="D13" t="str">
        <f>+'1° Encuesta Filtrada'!BY14</f>
        <v>Patricia Bullrich (Juntos por el Cambio)</v>
      </c>
      <c r="E13" t="str">
        <f>+'1° Encuesta Filtrada'!BZ14</f>
        <v>Javier Milei (La Libertad Avanza)</v>
      </c>
    </row>
    <row r="14" spans="1:5" x14ac:dyDescent="0.2">
      <c r="A14" s="5" t="s">
        <v>108</v>
      </c>
      <c r="B14">
        <f>+'2° Encuesta Filtrada'!X15</f>
        <v>0.36</v>
      </c>
      <c r="C14">
        <f>+'2° Encuesta Filtrada'!AQ15</f>
        <v>-1.3200000000000003</v>
      </c>
      <c r="D14" t="str">
        <f>+'1° Encuesta Filtrada'!BY15</f>
        <v>Javier Milei (La Libertad Avanza)</v>
      </c>
      <c r="E14" t="str">
        <f>+'1° Encuesta Filtrada'!BZ15</f>
        <v>Javier Milei (La Libertad Avanza)</v>
      </c>
    </row>
    <row r="15" spans="1:5" x14ac:dyDescent="0.2">
      <c r="A15" s="5" t="s">
        <v>111</v>
      </c>
      <c r="B15">
        <f>+'2° Encuesta Filtrada'!X16</f>
        <v>0.36</v>
      </c>
      <c r="C15">
        <f>+'2° Encuesta Filtrada'!AQ16</f>
        <v>2.6500000000000004</v>
      </c>
      <c r="D15" t="str">
        <f>+'1° Encuesta Filtrada'!BY16</f>
        <v>Patricia Bullrich (Juntos por el Cambio)</v>
      </c>
      <c r="E15" t="str">
        <f>+'1° Encuesta Filtrada'!BZ16</f>
        <v>Javier Milei (La Libertad Avanza)</v>
      </c>
    </row>
    <row r="16" spans="1:5" x14ac:dyDescent="0.2">
      <c r="A16" s="5" t="s">
        <v>112</v>
      </c>
      <c r="B16">
        <f>+'2° Encuesta Filtrada'!X17</f>
        <v>-1.8675000000000002</v>
      </c>
      <c r="C16">
        <f>+'2° Encuesta Filtrada'!AQ17</f>
        <v>2.31</v>
      </c>
      <c r="D16" t="str">
        <f>+'1° Encuesta Filtrada'!BY17</f>
        <v>Patricia Bullrich (Juntos por el Cambio)</v>
      </c>
      <c r="E16" t="str">
        <f>+'1° Encuesta Filtrada'!BZ17</f>
        <v>Javier Milei (La Libertad Avanza)</v>
      </c>
    </row>
    <row r="17" spans="1:5" x14ac:dyDescent="0.2">
      <c r="A17" s="5" t="s">
        <v>113</v>
      </c>
      <c r="B17">
        <f>+'2° Encuesta Filtrada'!X18</f>
        <v>1.8562500000000004</v>
      </c>
      <c r="C17">
        <f>+'2° Encuesta Filtrada'!AQ18</f>
        <v>4.66</v>
      </c>
      <c r="D17" t="str">
        <f>+'1° Encuesta Filtrada'!BY18</f>
        <v>Javier Milei (La Libertad Avanza)</v>
      </c>
      <c r="E17" t="str">
        <f>+'1° Encuesta Filtrada'!BZ18</f>
        <v>Javier Milei (La Libertad Avanza)</v>
      </c>
    </row>
    <row r="18" spans="1:5" x14ac:dyDescent="0.2">
      <c r="A18" s="5" t="s">
        <v>114</v>
      </c>
      <c r="B18">
        <f>+'2° Encuesta Filtrada'!X19</f>
        <v>1.4737500000000001</v>
      </c>
      <c r="C18">
        <f>+'2° Encuesta Filtrada'!AQ19</f>
        <v>-1</v>
      </c>
      <c r="D18" t="str">
        <f>+'1° Encuesta Filtrada'!BY19</f>
        <v>En blanco</v>
      </c>
      <c r="E18" t="str">
        <f>+'1° Encuesta Filtrada'!BZ19</f>
        <v>Javier Milei (La Libertad Avanza)</v>
      </c>
    </row>
    <row r="19" spans="1:5" x14ac:dyDescent="0.2">
      <c r="A19" s="5" t="s">
        <v>115</v>
      </c>
      <c r="B19">
        <f>+'2° Encuesta Filtrada'!X20</f>
        <v>4.8712499999999999</v>
      </c>
      <c r="C19">
        <f>+'2° Encuesta Filtrada'!AQ20</f>
        <v>5</v>
      </c>
      <c r="D19" t="str">
        <f>+'1° Encuesta Filtrada'!BY20</f>
        <v>Patricia Bullrich (Juntos por el Cambio)</v>
      </c>
      <c r="E19" t="str">
        <f>+'1° Encuesta Filtrada'!BZ20</f>
        <v>Javier Milei (La Libertad Avanza)</v>
      </c>
    </row>
    <row r="20" spans="1:5" x14ac:dyDescent="0.2">
      <c r="A20" s="5" t="s">
        <v>116</v>
      </c>
      <c r="B20">
        <f>+'2° Encuesta Filtrada'!X21</f>
        <v>-2.5987499999999999</v>
      </c>
      <c r="C20">
        <f>+'2° Encuesta Filtrada'!AQ21</f>
        <v>2</v>
      </c>
      <c r="D20" t="str">
        <f>+'1° Encuesta Filtrada'!BY21</f>
        <v>Sergio Massa (Unión por la Patria)</v>
      </c>
      <c r="E20" t="str">
        <f>+'1° Encuesta Filtrada'!BZ21</f>
        <v>Sergio Massa (Unión por la Patria)</v>
      </c>
    </row>
    <row r="21" spans="1:5" x14ac:dyDescent="0.2">
      <c r="A21" s="5" t="s">
        <v>117</v>
      </c>
      <c r="B21">
        <f>+'2° Encuesta Filtrada'!X22</f>
        <v>0</v>
      </c>
      <c r="C21">
        <f>+'2° Encuesta Filtrada'!AQ22</f>
        <v>-1.35</v>
      </c>
      <c r="D21" t="str">
        <f>+'1° Encuesta Filtrada'!BY22</f>
        <v>Patricia Bullrich (Juntos por el Cambio)</v>
      </c>
      <c r="E21" t="str">
        <f>+'1° Encuesta Filtrada'!BZ22</f>
        <v>Javier Milei (La Libertad Avanza)</v>
      </c>
    </row>
    <row r="22" spans="1:5" x14ac:dyDescent="0.2">
      <c r="A22" s="5" t="s">
        <v>119</v>
      </c>
      <c r="B22">
        <f>+'2° Encuesta Filtrada'!X23</f>
        <v>0.37124999999999991</v>
      </c>
      <c r="C22">
        <f>+'2° Encuesta Filtrada'!AQ23</f>
        <v>0.98</v>
      </c>
      <c r="D22" t="str">
        <f>+'1° Encuesta Filtrada'!BY23</f>
        <v>Javier Milei (La Libertad Avanza)</v>
      </c>
      <c r="E22" t="str">
        <f>+'1° Encuesta Filtrada'!BZ23</f>
        <v>Javier Milei (La Libertad Avanza)</v>
      </c>
    </row>
    <row r="23" spans="1:5" x14ac:dyDescent="0.2">
      <c r="A23" s="5" t="s">
        <v>120</v>
      </c>
      <c r="B23">
        <f>+'2° Encuesta Filtrada'!X24</f>
        <v>-7.0987500000000008</v>
      </c>
      <c r="C23">
        <f>+'2° Encuesta Filtrada'!AQ24</f>
        <v>-3.67</v>
      </c>
      <c r="D23" t="str">
        <f>+'1° Encuesta Filtrada'!BY24</f>
        <v>Sergio Massa (Unión por la Patria)</v>
      </c>
      <c r="E23" t="str">
        <f>+'1° Encuesta Filtrada'!BZ24</f>
        <v>Sergio Massa (Unión por la Patria)</v>
      </c>
    </row>
    <row r="24" spans="1:5" x14ac:dyDescent="0.2">
      <c r="A24" s="5" t="s">
        <v>122</v>
      </c>
      <c r="B24">
        <f>+'2° Encuesta Filtrada'!X25</f>
        <v>0.74250000000000016</v>
      </c>
      <c r="C24">
        <f>+'2° Encuesta Filtrada'!AQ25</f>
        <v>1.67</v>
      </c>
      <c r="D24" t="str">
        <f>+'1° Encuesta Filtrada'!BY25</f>
        <v>Javier Milei (La Libertad Avanza)</v>
      </c>
      <c r="E24" t="str">
        <f>+'1° Encuesta Filtrada'!BZ25</f>
        <v>Javier Milei (La Libertad Avanza)</v>
      </c>
    </row>
    <row r="25" spans="1:5" x14ac:dyDescent="0.2">
      <c r="A25" s="5" t="s">
        <v>123</v>
      </c>
      <c r="B25">
        <f>+'2° Encuesta Filtrada'!X26</f>
        <v>-3.3525000000000005</v>
      </c>
      <c r="C25">
        <f>+'2° Encuesta Filtrada'!AQ26</f>
        <v>3.33</v>
      </c>
      <c r="D25" t="str">
        <f>+'1° Encuesta Filtrada'!BY26</f>
        <v>Javier Milei (La Libertad Avanza)</v>
      </c>
      <c r="E25" t="str">
        <f>+'1° Encuesta Filtrada'!BZ26</f>
        <v>Javier Milei (La Libertad Avanza)</v>
      </c>
    </row>
    <row r="26" spans="1:5" x14ac:dyDescent="0.2">
      <c r="A26" s="5" t="s">
        <v>124</v>
      </c>
      <c r="B26">
        <f>+'2° Encuesta Filtrada'!X27</f>
        <v>-2.9924999999999997</v>
      </c>
      <c r="C26">
        <f>+'2° Encuesta Filtrada'!AQ27</f>
        <v>1.6500000000000004</v>
      </c>
      <c r="D26" t="str">
        <f>+'1° Encuesta Filtrada'!BY27</f>
        <v>Juan Schiaretti (Hacemos por Nuestro País)</v>
      </c>
      <c r="E26" t="str">
        <f>+'1° Encuesta Filtrada'!BZ27</f>
        <v>En blanco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BBA8-23BF-4FF2-9A52-90C814E0FA6F}">
  <dimension ref="A1:G26"/>
  <sheetViews>
    <sheetView tabSelected="1" workbookViewId="0">
      <selection activeCell="F15" sqref="F15"/>
    </sheetView>
  </sheetViews>
  <sheetFormatPr baseColWidth="10" defaultRowHeight="12.75" x14ac:dyDescent="0.2"/>
  <cols>
    <col min="1" max="1" width="20.42578125" bestFit="1" customWidth="1"/>
    <col min="6" max="6" width="38" bestFit="1" customWidth="1"/>
    <col min="7" max="7" width="29.85546875" bestFit="1" customWidth="1"/>
  </cols>
  <sheetData>
    <row r="1" spans="1:7" x14ac:dyDescent="0.2">
      <c r="A1" s="6" t="s">
        <v>1</v>
      </c>
      <c r="B1" s="12" t="s">
        <v>158</v>
      </c>
      <c r="C1" t="s">
        <v>159</v>
      </c>
      <c r="D1" t="s">
        <v>150</v>
      </c>
      <c r="E1" t="s">
        <v>151</v>
      </c>
      <c r="F1" t="s">
        <v>161</v>
      </c>
      <c r="G1" t="s">
        <v>162</v>
      </c>
    </row>
    <row r="2" spans="1:7" x14ac:dyDescent="0.2">
      <c r="A2" s="5" t="s">
        <v>58</v>
      </c>
      <c r="B2">
        <f>+'1° Encuesta Filtrada'!AC3</f>
        <v>-2.2275</v>
      </c>
      <c r="C2">
        <f>+'1° Encuesta Filtrada'!AV3</f>
        <v>0.32000000000000012</v>
      </c>
      <c r="D2">
        <f>+ejes2!B2</f>
        <v>-0.75375000000000014</v>
      </c>
      <c r="E2">
        <f>+ejes2!C2</f>
        <v>-2.0099999999999998</v>
      </c>
      <c r="F2" t="str">
        <f>+'1° Encuesta Filtrada'!BY3</f>
        <v>Sergio Massa (Unión por la Patria)</v>
      </c>
      <c r="G2" t="str">
        <f>+'1° Encuesta Filtrada'!BZ3</f>
        <v>Sergio Massa (Unión por la Patria)</v>
      </c>
    </row>
    <row r="3" spans="1:7" x14ac:dyDescent="0.2">
      <c r="A3" s="5" t="s">
        <v>73</v>
      </c>
      <c r="B3">
        <f>+'1° Encuesta Filtrada'!AC4</f>
        <v>-2.9812499999999997</v>
      </c>
      <c r="C3">
        <f>+'1° Encuesta Filtrada'!AV4</f>
        <v>-3.9799999999999995</v>
      </c>
      <c r="D3">
        <f>+ejes2!B3</f>
        <v>-2.9925000000000002</v>
      </c>
      <c r="E3">
        <f>+ejes2!C3</f>
        <v>-0.9900000000000001</v>
      </c>
      <c r="F3" t="str">
        <f>+'1° Encuesta Filtrada'!BY4</f>
        <v>Sergio Massa (Unión por la Patria)</v>
      </c>
      <c r="G3" t="str">
        <f>+'1° Encuesta Filtrada'!BZ4</f>
        <v>Sergio Massa (Unión por la Patria)</v>
      </c>
    </row>
    <row r="4" spans="1:7" x14ac:dyDescent="0.2">
      <c r="A4" s="5" t="s">
        <v>79</v>
      </c>
      <c r="B4">
        <f>+'1° Encuesta Filtrada'!AC5</f>
        <v>-5.6025000000000009</v>
      </c>
      <c r="C4">
        <f>+'1° Encuesta Filtrada'!AV5</f>
        <v>-4.66</v>
      </c>
      <c r="D4">
        <f>+ejes2!B4</f>
        <v>-6.7162500000000005</v>
      </c>
      <c r="E4">
        <f>+ejes2!C4</f>
        <v>-4.3099999999999996</v>
      </c>
      <c r="F4" t="str">
        <f>+'1° Encuesta Filtrada'!BY5</f>
        <v>Sergio Massa (Unión por la Patria)</v>
      </c>
      <c r="G4" t="str">
        <f>+'1° Encuesta Filtrada'!BZ5</f>
        <v>Sergio Massa (Unión por la Patria)</v>
      </c>
    </row>
    <row r="5" spans="1:7" x14ac:dyDescent="0.2">
      <c r="A5" s="5" t="s">
        <v>84</v>
      </c>
      <c r="B5">
        <f>+'1° Encuesta Filtrada'!AC6</f>
        <v>-0.74249999999999994</v>
      </c>
      <c r="C5">
        <f>+'1° Encuesta Filtrada'!AV6</f>
        <v>-1.6500000000000001</v>
      </c>
      <c r="D5">
        <f>+ejes2!B5</f>
        <v>-3.3525000000000005</v>
      </c>
      <c r="E5">
        <f>+ejes2!C5</f>
        <v>1.3199999999999998</v>
      </c>
      <c r="F5" t="str">
        <f>+'1° Encuesta Filtrada'!BY6</f>
        <v>Juan Schiaretti (Hacemos por Nuestro País)</v>
      </c>
      <c r="G5" t="str">
        <f>+'1° Encuesta Filtrada'!BZ6</f>
        <v>En blanco</v>
      </c>
    </row>
    <row r="6" spans="1:7" x14ac:dyDescent="0.2">
      <c r="A6" s="5" t="s">
        <v>88</v>
      </c>
      <c r="B6">
        <f>+'1° Encuesta Filtrada'!AC7</f>
        <v>-1.4850000000000001</v>
      </c>
      <c r="C6">
        <f>+'1° Encuesta Filtrada'!AV7</f>
        <v>-1.3399999999999999</v>
      </c>
      <c r="D6">
        <f>+ejes2!B6</f>
        <v>1.11375</v>
      </c>
      <c r="E6">
        <f>+ejes2!C6</f>
        <v>-0.66999999999999993</v>
      </c>
      <c r="F6" t="str">
        <f>+'1° Encuesta Filtrada'!BY7</f>
        <v>Javier Milei (La Libertad Avanza)</v>
      </c>
      <c r="G6" t="str">
        <f>+'1° Encuesta Filtrada'!BZ7</f>
        <v>Javier Milei (La Libertad Avanza)</v>
      </c>
    </row>
    <row r="7" spans="1:7" x14ac:dyDescent="0.2">
      <c r="A7" s="5" t="s">
        <v>92</v>
      </c>
      <c r="B7">
        <f>+'1° Encuesta Filtrada'!AC8</f>
        <v>-2.5987499999999999</v>
      </c>
      <c r="C7">
        <f>+'1° Encuesta Filtrada'!AV8</f>
        <v>-1.9900000000000002</v>
      </c>
      <c r="D7">
        <f>+ejes2!B7</f>
        <v>-1.4962500000000001</v>
      </c>
      <c r="E7">
        <f>+ejes2!C7</f>
        <v>9.9999999999997868E-3</v>
      </c>
      <c r="F7" t="str">
        <f>+'1° Encuesta Filtrada'!BY8</f>
        <v>En blanco</v>
      </c>
      <c r="G7" t="str">
        <f>+'1° Encuesta Filtrada'!BZ8</f>
        <v>En blanco</v>
      </c>
    </row>
    <row r="8" spans="1:7" x14ac:dyDescent="0.2">
      <c r="A8" s="5" t="s">
        <v>97</v>
      </c>
      <c r="B8">
        <f>+'1° Encuesta Filtrada'!AC9</f>
        <v>4.0949999999999998</v>
      </c>
      <c r="C8">
        <f>+'1° Encuesta Filtrada'!AV9</f>
        <v>9.9999999999997868E-3</v>
      </c>
      <c r="D8">
        <f>+ejes2!B8</f>
        <v>2.2275000000000005</v>
      </c>
      <c r="E8">
        <f>+ejes2!C8</f>
        <v>1.67</v>
      </c>
      <c r="F8" t="str">
        <f>+'1° Encuesta Filtrada'!BY9</f>
        <v>En blanco</v>
      </c>
      <c r="G8" t="str">
        <f>+'1° Encuesta Filtrada'!BZ9</f>
        <v>En blanco</v>
      </c>
    </row>
    <row r="9" spans="1:7" x14ac:dyDescent="0.2">
      <c r="A9" s="5" t="s">
        <v>100</v>
      </c>
      <c r="B9">
        <f>+'1° Encuesta Filtrada'!AC10</f>
        <v>0.37125000000000002</v>
      </c>
      <c r="C9">
        <f>+'1° Encuesta Filtrada'!AV10</f>
        <v>1.999999999999974E-2</v>
      </c>
      <c r="D9">
        <f>+ejes2!B9</f>
        <v>-0.74250000000000005</v>
      </c>
      <c r="E9">
        <f>+ejes2!C9</f>
        <v>-0.66000000000000014</v>
      </c>
      <c r="F9" t="str">
        <f>+'1° Encuesta Filtrada'!BY10</f>
        <v>En blanco</v>
      </c>
      <c r="G9" t="str">
        <f>+'1° Encuesta Filtrada'!BZ10</f>
        <v>En blanco</v>
      </c>
    </row>
    <row r="10" spans="1:7" x14ac:dyDescent="0.2">
      <c r="A10" s="5" t="s">
        <v>103</v>
      </c>
      <c r="B10">
        <f>+'1° Encuesta Filtrada'!AC11</f>
        <v>0.37125000000000002</v>
      </c>
      <c r="C10">
        <f>+'1° Encuesta Filtrada'!AV11</f>
        <v>-0.99</v>
      </c>
      <c r="D10">
        <f>+ejes2!B10</f>
        <v>1.1025</v>
      </c>
      <c r="E10">
        <f>+ejes2!C10</f>
        <v>0.99000000000000021</v>
      </c>
      <c r="F10" t="str">
        <f>+'1° Encuesta Filtrada'!BY11</f>
        <v>Javier Milei (La Libertad Avanza)</v>
      </c>
      <c r="G10" t="str">
        <f>+'1° Encuesta Filtrada'!BZ11</f>
        <v>Javier Milei (La Libertad Avanza)</v>
      </c>
    </row>
    <row r="11" spans="1:7" x14ac:dyDescent="0.2">
      <c r="A11" s="5" t="s">
        <v>105</v>
      </c>
      <c r="B11">
        <f>+'1° Encuesta Filtrada'!AC12</f>
        <v>-1.5074999999999998</v>
      </c>
      <c r="C11">
        <f>+'1° Encuesta Filtrada'!AV12</f>
        <v>0.33</v>
      </c>
      <c r="D11">
        <f>+ejes2!B11</f>
        <v>-0.75374999999999992</v>
      </c>
      <c r="E11">
        <f>+ejes2!C11</f>
        <v>2.64</v>
      </c>
      <c r="F11" t="str">
        <f>+'1° Encuesta Filtrada'!BY12</f>
        <v>Patricia Bullrich (Juntos por el Cambio)</v>
      </c>
      <c r="G11" t="str">
        <f>+'1° Encuesta Filtrada'!BZ12</f>
        <v>Javier Milei (La Libertad Avanza)</v>
      </c>
    </row>
    <row r="12" spans="1:7" x14ac:dyDescent="0.2">
      <c r="A12" s="5" t="s">
        <v>106</v>
      </c>
      <c r="B12">
        <f>+'1° Encuesta Filtrada'!AC13</f>
        <v>3.7350000000000003</v>
      </c>
      <c r="C12">
        <f>+'1° Encuesta Filtrada'!AV13</f>
        <v>0</v>
      </c>
      <c r="D12">
        <f>+ejes2!B12</f>
        <v>-3.3637500000000005</v>
      </c>
      <c r="E12">
        <f>+ejes2!C12</f>
        <v>2.33</v>
      </c>
      <c r="F12" t="str">
        <f>+'1° Encuesta Filtrada'!BY13</f>
        <v>Javier Milei (La Libertad Avanza)</v>
      </c>
      <c r="G12" t="str">
        <f>+'1° Encuesta Filtrada'!BZ13</f>
        <v>Javier Milei (La Libertad Avanza)</v>
      </c>
    </row>
    <row r="13" spans="1:7" x14ac:dyDescent="0.2">
      <c r="A13" s="5" t="s">
        <v>107</v>
      </c>
      <c r="B13">
        <f>+'1° Encuesta Filtrada'!AC14</f>
        <v>-0.75374999999999992</v>
      </c>
      <c r="C13">
        <f>+'1° Encuesta Filtrada'!AV14</f>
        <v>-1.33</v>
      </c>
      <c r="D13">
        <f>+ejes2!B13</f>
        <v>-1.11375</v>
      </c>
      <c r="E13">
        <f>+ejes2!C13</f>
        <v>-1.65</v>
      </c>
      <c r="F13" t="str">
        <f>+'1° Encuesta Filtrada'!BY14</f>
        <v>Patricia Bullrich (Juntos por el Cambio)</v>
      </c>
      <c r="G13" t="str">
        <f>+'1° Encuesta Filtrada'!BZ14</f>
        <v>Javier Milei (La Libertad Avanza)</v>
      </c>
    </row>
    <row r="14" spans="1:7" x14ac:dyDescent="0.2">
      <c r="A14" s="5" t="s">
        <v>108</v>
      </c>
      <c r="B14">
        <f>+'1° Encuesta Filtrada'!AC15</f>
        <v>1.1249999999999885E-2</v>
      </c>
      <c r="C14">
        <f>+'1° Encuesta Filtrada'!AV15</f>
        <v>-2.6500000000000004</v>
      </c>
      <c r="D14">
        <f>+ejes2!B14</f>
        <v>0.36</v>
      </c>
      <c r="E14">
        <f>+ejes2!C14</f>
        <v>-1.3200000000000003</v>
      </c>
      <c r="F14" t="str">
        <f>+'1° Encuesta Filtrada'!BY15</f>
        <v>Javier Milei (La Libertad Avanza)</v>
      </c>
      <c r="G14" t="str">
        <f>+'1° Encuesta Filtrada'!BZ15</f>
        <v>Javier Milei (La Libertad Avanza)</v>
      </c>
    </row>
    <row r="15" spans="1:7" x14ac:dyDescent="0.2">
      <c r="A15" s="5" t="s">
        <v>111</v>
      </c>
      <c r="B15">
        <f>+'1° Encuesta Filtrada'!AC16</f>
        <v>4.8600000000000003</v>
      </c>
      <c r="C15">
        <f>+'1° Encuesta Filtrada'!AV16</f>
        <v>1</v>
      </c>
      <c r="D15">
        <f>+ejes2!B15</f>
        <v>0.36</v>
      </c>
      <c r="E15">
        <f>+ejes2!C15</f>
        <v>2.6500000000000004</v>
      </c>
      <c r="F15" t="str">
        <f>+'1° Encuesta Filtrada'!BY16</f>
        <v>Patricia Bullrich (Juntos por el Cambio)</v>
      </c>
      <c r="G15" t="str">
        <f>+'1° Encuesta Filtrada'!BZ16</f>
        <v>Javier Milei (La Libertad Avanza)</v>
      </c>
    </row>
    <row r="16" spans="1:7" x14ac:dyDescent="0.2">
      <c r="A16" s="5" t="s">
        <v>112</v>
      </c>
      <c r="B16">
        <f>+'1° Encuesta Filtrada'!AC17</f>
        <v>1.85625</v>
      </c>
      <c r="C16">
        <f>+'1° Encuesta Filtrada'!AV17</f>
        <v>2</v>
      </c>
      <c r="D16">
        <f>+ejes2!B16</f>
        <v>-1.8675000000000002</v>
      </c>
      <c r="E16">
        <f>+ejes2!C16</f>
        <v>2.31</v>
      </c>
      <c r="F16" t="str">
        <f>+'1° Encuesta Filtrada'!BY17</f>
        <v>Patricia Bullrich (Juntos por el Cambio)</v>
      </c>
      <c r="G16" t="str">
        <f>+'1° Encuesta Filtrada'!BZ17</f>
        <v>Javier Milei (La Libertad Avanza)</v>
      </c>
    </row>
    <row r="17" spans="1:7" x14ac:dyDescent="0.2">
      <c r="A17" s="5" t="s">
        <v>113</v>
      </c>
      <c r="B17">
        <f>+'1° Encuesta Filtrada'!AC18</f>
        <v>0.76499999999999968</v>
      </c>
      <c r="C17">
        <f>+'1° Encuesta Filtrada'!AV18</f>
        <v>1.9900000000000002</v>
      </c>
      <c r="D17">
        <f>+ejes2!B17</f>
        <v>1.8562500000000004</v>
      </c>
      <c r="E17">
        <f>+ejes2!C17</f>
        <v>4.66</v>
      </c>
      <c r="F17" t="str">
        <f>+'1° Encuesta Filtrada'!BY18</f>
        <v>Javier Milei (La Libertad Avanza)</v>
      </c>
      <c r="G17" t="str">
        <f>+'1° Encuesta Filtrada'!BZ18</f>
        <v>Javier Milei (La Libertad Avanza)</v>
      </c>
    </row>
    <row r="18" spans="1:7" x14ac:dyDescent="0.2">
      <c r="A18" s="5" t="s">
        <v>114</v>
      </c>
      <c r="B18">
        <f>+'1° Encuesta Filtrada'!AC19</f>
        <v>2.9812500000000002</v>
      </c>
      <c r="C18">
        <f>+'1° Encuesta Filtrada'!AV19</f>
        <v>0.32999999999999963</v>
      </c>
      <c r="D18">
        <f>+ejes2!B18</f>
        <v>1.4737500000000001</v>
      </c>
      <c r="E18">
        <f>+ejes2!C18</f>
        <v>-1</v>
      </c>
      <c r="F18" t="str">
        <f>+'1° Encuesta Filtrada'!BY19</f>
        <v>En blanco</v>
      </c>
      <c r="G18" t="str">
        <f>+'1° Encuesta Filtrada'!BZ19</f>
        <v>Javier Milei (La Libertad Avanza)</v>
      </c>
    </row>
    <row r="19" spans="1:7" x14ac:dyDescent="0.2">
      <c r="A19" s="5" t="s">
        <v>115</v>
      </c>
      <c r="B19">
        <f>+'1° Encuesta Filtrada'!AC20</f>
        <v>2.6324999999999998</v>
      </c>
      <c r="C19">
        <f>+'1° Encuesta Filtrada'!AV20</f>
        <v>-1.9900000000000002</v>
      </c>
      <c r="D19">
        <f>+ejes2!B19</f>
        <v>4.8712499999999999</v>
      </c>
      <c r="E19">
        <f>+ejes2!C19</f>
        <v>5</v>
      </c>
      <c r="F19" t="str">
        <f>+'1° Encuesta Filtrada'!BY20</f>
        <v>Patricia Bullrich (Juntos por el Cambio)</v>
      </c>
      <c r="G19" t="str">
        <f>+'1° Encuesta Filtrada'!BZ20</f>
        <v>Javier Milei (La Libertad Avanza)</v>
      </c>
    </row>
    <row r="20" spans="1:7" x14ac:dyDescent="0.2">
      <c r="A20" s="5" t="s">
        <v>116</v>
      </c>
      <c r="B20">
        <f>+'1° Encuesta Filtrada'!AC21</f>
        <v>-1.11375</v>
      </c>
      <c r="C20">
        <f>+'1° Encuesta Filtrada'!AV21</f>
        <v>-1.6600000000000001</v>
      </c>
      <c r="D20">
        <f>+ejes2!B20</f>
        <v>-2.5987499999999999</v>
      </c>
      <c r="E20">
        <f>+ejes2!C20</f>
        <v>2</v>
      </c>
      <c r="F20" t="str">
        <f>+'1° Encuesta Filtrada'!BY21</f>
        <v>Sergio Massa (Unión por la Patria)</v>
      </c>
      <c r="G20" t="str">
        <f>+'1° Encuesta Filtrada'!BZ21</f>
        <v>Sergio Massa (Unión por la Patria)</v>
      </c>
    </row>
    <row r="21" spans="1:7" x14ac:dyDescent="0.2">
      <c r="A21" s="5" t="s">
        <v>117</v>
      </c>
      <c r="B21">
        <f>+'1° Encuesta Filtrada'!AC22</f>
        <v>1.4962500000000001</v>
      </c>
      <c r="C21">
        <f>+'1° Encuesta Filtrada'!AV22</f>
        <v>-1.67</v>
      </c>
      <c r="D21">
        <f>+ejes2!B21</f>
        <v>0</v>
      </c>
      <c r="E21">
        <f>+ejes2!C21</f>
        <v>-1.35</v>
      </c>
      <c r="F21" t="str">
        <f>+'1° Encuesta Filtrada'!BY22</f>
        <v>Patricia Bullrich (Juntos por el Cambio)</v>
      </c>
      <c r="G21" t="str">
        <f>+'1° Encuesta Filtrada'!BZ22</f>
        <v>Javier Milei (La Libertad Avanza)</v>
      </c>
    </row>
    <row r="22" spans="1:7" x14ac:dyDescent="0.2">
      <c r="A22" s="5" t="s">
        <v>119</v>
      </c>
      <c r="B22">
        <f>+'1° Encuesta Filtrada'!AC23</f>
        <v>-0.75374999999999992</v>
      </c>
      <c r="C22">
        <f>+'1° Encuesta Filtrada'!AV23</f>
        <v>2.9800000000000004</v>
      </c>
      <c r="D22">
        <f>+ejes2!B22</f>
        <v>0.37124999999999991</v>
      </c>
      <c r="E22">
        <f>+ejes2!C22</f>
        <v>0.98</v>
      </c>
      <c r="F22" t="str">
        <f>+'1° Encuesta Filtrada'!BY23</f>
        <v>Javier Milei (La Libertad Avanza)</v>
      </c>
      <c r="G22" t="str">
        <f>+'1° Encuesta Filtrada'!BZ23</f>
        <v>Javier Milei (La Libertad Avanza)</v>
      </c>
    </row>
    <row r="23" spans="1:7" x14ac:dyDescent="0.2">
      <c r="A23" s="5" t="s">
        <v>120</v>
      </c>
      <c r="B23">
        <f>+'1° Encuesta Filtrada'!AC24</f>
        <v>-4.8712499999999999</v>
      </c>
      <c r="C23">
        <f>+'1° Encuesta Filtrada'!AV24</f>
        <v>-4.66</v>
      </c>
      <c r="D23">
        <f>+ejes2!B23</f>
        <v>-7.0987500000000008</v>
      </c>
      <c r="E23">
        <f>+ejes2!C23</f>
        <v>-3.67</v>
      </c>
      <c r="F23" t="str">
        <f>+'1° Encuesta Filtrada'!BY24</f>
        <v>Sergio Massa (Unión por la Patria)</v>
      </c>
      <c r="G23" t="str">
        <f>+'1° Encuesta Filtrada'!BZ24</f>
        <v>Sergio Massa (Unión por la Patria)</v>
      </c>
    </row>
    <row r="24" spans="1:7" x14ac:dyDescent="0.2">
      <c r="A24" s="5" t="s">
        <v>122</v>
      </c>
      <c r="B24">
        <f>+'1° Encuesta Filtrada'!AC25</f>
        <v>3.0037500000000001</v>
      </c>
      <c r="C24">
        <f>+'1° Encuesta Filtrada'!AV25</f>
        <v>1.3399999999999999</v>
      </c>
      <c r="D24">
        <f>+ejes2!B24</f>
        <v>0.74250000000000016</v>
      </c>
      <c r="E24">
        <f>+ejes2!C24</f>
        <v>1.67</v>
      </c>
      <c r="F24" t="str">
        <f>+'1° Encuesta Filtrada'!BY25</f>
        <v>Javier Milei (La Libertad Avanza)</v>
      </c>
      <c r="G24" t="str">
        <f>+'1° Encuesta Filtrada'!BZ25</f>
        <v>Javier Milei (La Libertad Avanza)</v>
      </c>
    </row>
    <row r="25" spans="1:7" x14ac:dyDescent="0.2">
      <c r="A25" s="5" t="s">
        <v>123</v>
      </c>
      <c r="B25">
        <f>+'1° Encuesta Filtrada'!AC26</f>
        <v>-3.3637500000000005</v>
      </c>
      <c r="C25">
        <f>+'1° Encuesta Filtrada'!AV26</f>
        <v>-2.66</v>
      </c>
      <c r="D25">
        <f>+ejes2!B25</f>
        <v>-3.3525000000000005</v>
      </c>
      <c r="E25">
        <f>+ejes2!C25</f>
        <v>3.33</v>
      </c>
      <c r="F25" t="str">
        <f>+'1° Encuesta Filtrada'!BY26</f>
        <v>Javier Milei (La Libertad Avanza)</v>
      </c>
      <c r="G25" t="str">
        <f>+'1° Encuesta Filtrada'!BZ26</f>
        <v>Javier Milei (La Libertad Avanza)</v>
      </c>
    </row>
    <row r="26" spans="1:7" x14ac:dyDescent="0.2">
      <c r="A26" s="5" t="s">
        <v>124</v>
      </c>
      <c r="B26">
        <f>+'1° Encuesta Filtrada'!AC27</f>
        <v>0.74250000000000005</v>
      </c>
      <c r="C26">
        <f>+'1° Encuesta Filtrada'!AV27</f>
        <v>0.32999999999999996</v>
      </c>
      <c r="D26">
        <f>+ejes2!B26</f>
        <v>-2.9924999999999997</v>
      </c>
      <c r="E26">
        <f>+ejes2!C26</f>
        <v>1.6500000000000004</v>
      </c>
      <c r="F26" t="str">
        <f>+'1° Encuesta Filtrada'!BY27</f>
        <v>Juan Schiaretti (Hacemos por Nuestro País)</v>
      </c>
      <c r="G26" t="str">
        <f>+'1° Encuesta Filtrada'!BZ27</f>
        <v>En blanco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1° Encuesta Filtrada</vt:lpstr>
      <vt:lpstr>ejes1</vt:lpstr>
      <vt:lpstr>2° Encuesta Filtrada</vt:lpstr>
      <vt:lpstr>ejes2</vt:lpstr>
      <vt:lpstr>ejes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2024-11-21T04:25:34Z</dcterms:modified>
</cp:coreProperties>
</file>